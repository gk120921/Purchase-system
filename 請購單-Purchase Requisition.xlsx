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61ABF05-1C26-413E-A886-EAA45C280E1C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總表" sheetId="4" state="hidden" r:id="rId1"/>
    <sheet name="請購單-PR" sheetId="1" r:id="rId2"/>
    <sheet name="採購單-PO" sheetId="5" state="hidden" r:id="rId3"/>
    <sheet name="(採購)收料單" sheetId="6" state="hidden" r:id="rId4"/>
    <sheet name="付款單" sheetId="7" state="hidden" r:id="rId5"/>
    <sheet name="廠內製令單&amp;領料單" sheetId="8" state="hidden" r:id="rId6"/>
    <sheet name="領料退回單" sheetId="9" state="hidden" r:id="rId7"/>
    <sheet name="調 撥 單" sheetId="10" state="hidden" r:id="rId8"/>
    <sheet name="(託外)收料單" sheetId="11" state="hidden" r:id="rId9"/>
    <sheet name="繳 庫 單" sheetId="12" state="hidden" r:id="rId10"/>
    <sheet name="繳 庫 退 回 " sheetId="13" state="hidden" r:id="rId11"/>
    <sheet name="雜入出庫單" sheetId="14" state="hidden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0" i="5" l="1"/>
  <c r="F3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16" authorId="0" shapeId="0" xr:uid="{D192B773-651B-4782-B802-9745CEA5EC0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 Dollar Symbol</t>
        </r>
      </text>
    </comment>
    <comment ref="A31" authorId="0" shapeId="0" xr:uid="{81CDFB5E-9375-4ACA-9324-4220D04CE67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Insert the terms and condition</t>
        </r>
      </text>
    </comment>
    <comment ref="F31" authorId="0" shapeId="0" xr:uid="{AB443615-BBD0-462E-B0F0-B940B622DA7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 Percentage sign</t>
        </r>
      </text>
    </comment>
    <comment ref="F33" authorId="0" shapeId="0" xr:uid="{366D4867-04C3-4E31-AAD5-7FCB748AD87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Round off</t>
        </r>
      </text>
    </comment>
  </commentList>
</comments>
</file>

<file path=xl/sharedStrings.xml><?xml version="1.0" encoding="utf-8"?>
<sst xmlns="http://schemas.openxmlformats.org/spreadsheetml/2006/main" count="279" uniqueCount="239">
  <si>
    <t>E2.0*1.7</t>
  </si>
  <si>
    <t>2025/12/26</t>
    <phoneticPr fontId="3" type="noConversion"/>
  </si>
  <si>
    <t>KG</t>
    <phoneticPr fontId="3" type="noConversion"/>
  </si>
  <si>
    <t>崑琦</t>
    <phoneticPr fontId="3" type="noConversion"/>
  </si>
  <si>
    <t>KST TERMINALS (INDIA) MANUFACTURING PRIVATE LIMITE</t>
    <phoneticPr fontId="3" type="noConversion"/>
  </si>
  <si>
    <t>單位：T120  生管課
Unit：</t>
    <phoneticPr fontId="3" type="noConversion"/>
  </si>
  <si>
    <t>請購人：
Prescriptor：</t>
  </si>
  <si>
    <t>審核：
Review：</t>
    <phoneticPr fontId="3" type="noConversion"/>
  </si>
  <si>
    <t>料品編號
Material  number</t>
    <phoneticPr fontId="3" type="noConversion"/>
  </si>
  <si>
    <t>需求量
Demand</t>
    <phoneticPr fontId="3" type="noConversion"/>
  </si>
  <si>
    <t>需求日
Demand  day</t>
    <phoneticPr fontId="3" type="noConversion"/>
  </si>
  <si>
    <t>採購數量
Purchaes quantity</t>
    <phoneticPr fontId="3" type="noConversion"/>
  </si>
  <si>
    <t>廠商
Manufacturer</t>
    <phoneticPr fontId="3" type="noConversion"/>
  </si>
  <si>
    <t>進貨日期
Date of purchase</t>
    <phoneticPr fontId="3" type="noConversion"/>
  </si>
  <si>
    <t xml:space="preserve">類別： 一般
Category： General </t>
    <phoneticPr fontId="3" type="noConversion"/>
  </si>
  <si>
    <t>日期：2026/03/27
Date：</t>
    <phoneticPr fontId="3" type="noConversion"/>
  </si>
  <si>
    <t>單號： 20260327001
Order number：</t>
    <phoneticPr fontId="3" type="noConversion"/>
  </si>
  <si>
    <t>單位
Unit</t>
    <phoneticPr fontId="3" type="noConversion"/>
  </si>
  <si>
    <t>表單名稱</t>
    <phoneticPr fontId="3" type="noConversion"/>
  </si>
  <si>
    <t>對應系統</t>
    <phoneticPr fontId="3" type="noConversion"/>
  </si>
  <si>
    <t>5-3-5</t>
    <phoneticPr fontId="3" type="noConversion"/>
  </si>
  <si>
    <t>請購單</t>
    <phoneticPr fontId="3" type="noConversion"/>
  </si>
  <si>
    <t>項次</t>
    <phoneticPr fontId="3" type="noConversion"/>
  </si>
  <si>
    <t>5-4-6</t>
    <phoneticPr fontId="3" type="noConversion"/>
  </si>
  <si>
    <t>合計：
Total：</t>
    <phoneticPr fontId="3" type="noConversion"/>
  </si>
  <si>
    <t xml:space="preserve">  PC</t>
  </si>
  <si>
    <t>摘要
Abstract</t>
    <phoneticPr fontId="3" type="noConversion"/>
  </si>
  <si>
    <t>金額
Amount of money</t>
    <phoneticPr fontId="3" type="noConversion"/>
  </si>
  <si>
    <t>數量
Quantity</t>
    <phoneticPr fontId="3" type="noConversion"/>
  </si>
  <si>
    <t>單位
Unit</t>
    <phoneticPr fontId="3" type="noConversion"/>
  </si>
  <si>
    <t>料品編號
Material  number</t>
    <phoneticPr fontId="3" type="noConversion"/>
  </si>
  <si>
    <t>審核：
Review：</t>
    <phoneticPr fontId="3" type="noConversion"/>
  </si>
  <si>
    <t>幣別Currency：USD
匯率Exchange rate：31.5000</t>
    <phoneticPr fontId="3" type="noConversion"/>
  </si>
  <si>
    <t xml:space="preserve">連絡人：
Contact person：   </t>
    <phoneticPr fontId="3" type="noConversion"/>
  </si>
  <si>
    <t>傳真 FAX:</t>
    <phoneticPr fontId="3" type="noConversion"/>
  </si>
  <si>
    <t xml:space="preserve">電話 TEL:    </t>
  </si>
  <si>
    <t>KST TERMINALS (INDIA) MANUFACTURING PRIVATE LIMITE</t>
    <phoneticPr fontId="3" type="noConversion"/>
  </si>
  <si>
    <t>採購單</t>
    <phoneticPr fontId="3" type="noConversion"/>
  </si>
  <si>
    <t>5-5-1</t>
    <phoneticPr fontId="3" type="noConversion"/>
  </si>
  <si>
    <t>(採購)收料單</t>
    <phoneticPr fontId="3" type="noConversion"/>
  </si>
  <si>
    <t>PC</t>
  </si>
  <si>
    <t>C075*24H/2</t>
  </si>
  <si>
    <t>庫別
Kube</t>
    <phoneticPr fontId="3" type="noConversion"/>
  </si>
  <si>
    <t>實收數量
The astual quantity</t>
    <phoneticPr fontId="3" type="noConversion"/>
  </si>
  <si>
    <t>採購單號
Purchase order number</t>
    <phoneticPr fontId="3" type="noConversion"/>
  </si>
  <si>
    <t>收料人員：
Receiver：</t>
    <phoneticPr fontId="3" type="noConversion"/>
  </si>
  <si>
    <t xml:space="preserve">供應商：B0001 名佳利     
Supplier：                                </t>
    <phoneticPr fontId="3" type="noConversion"/>
  </si>
  <si>
    <t>單號 :202512000001
Order number：</t>
    <phoneticPr fontId="3" type="noConversion"/>
  </si>
  <si>
    <t xml:space="preserve">日期：2025/12/30
Date：                                                                                                                        </t>
    <phoneticPr fontId="3" type="noConversion"/>
  </si>
  <si>
    <t>B-B-3</t>
    <phoneticPr fontId="3" type="noConversion"/>
  </si>
  <si>
    <t xml:space="preserve">核准：
Approve： </t>
    <phoneticPr fontId="3" type="noConversion"/>
  </si>
  <si>
    <t>採購：
Procurement：</t>
    <phoneticPr fontId="3" type="noConversion"/>
  </si>
  <si>
    <t>會計： 
Accounting：</t>
    <phoneticPr fontId="3" type="noConversion"/>
  </si>
  <si>
    <t>合計金額:</t>
  </si>
  <si>
    <t xml:space="preserve"> === 以 下 空 白 ===</t>
  </si>
  <si>
    <t xml:space="preserve">  Cash</t>
  </si>
  <si>
    <t>票據號碼
Bill number</t>
    <phoneticPr fontId="3" type="noConversion"/>
  </si>
  <si>
    <t>票據日期
Date of the bill</t>
    <phoneticPr fontId="3" type="noConversion"/>
  </si>
  <si>
    <t>項目
Project</t>
    <phoneticPr fontId="3" type="noConversion"/>
  </si>
  <si>
    <t>申請人：
Applicant：</t>
    <phoneticPr fontId="3" type="noConversion"/>
  </si>
  <si>
    <t>統一編號:54357977 
Unified number：</t>
    <phoneticPr fontId="3" type="noConversion"/>
  </si>
  <si>
    <t>付款條件:A 當月結付現    
Payment terms：</t>
    <phoneticPr fontId="3" type="noConversion"/>
  </si>
  <si>
    <t>單號 :202602240002
Order number：</t>
    <phoneticPr fontId="3" type="noConversion"/>
  </si>
  <si>
    <t xml:space="preserve">連絡人:許榮顯 
Contact person： </t>
    <phoneticPr fontId="3" type="noConversion"/>
  </si>
  <si>
    <t>日期:2026/02/24
Date：</t>
    <phoneticPr fontId="3" type="noConversion"/>
  </si>
  <si>
    <t xml:space="preserve">傳真 ：02-23885177
FAX：  </t>
    <phoneticPr fontId="3" type="noConversion"/>
  </si>
  <si>
    <t>電話 ：02-23885173
TEL：</t>
    <phoneticPr fontId="3" type="noConversion"/>
  </si>
  <si>
    <t>客戶:B0003 奧升德 
Customer：</t>
    <phoneticPr fontId="3" type="noConversion"/>
  </si>
  <si>
    <t xml:space="preserve">               傳真 FAX:</t>
    <phoneticPr fontId="3" type="noConversion"/>
  </si>
  <si>
    <t xml:space="preserve">電話 TEL:   </t>
    <phoneticPr fontId="3" type="noConversion"/>
  </si>
  <si>
    <t>Ulundai Village,Thiruvallur,Tamilnadu. Pincode - 602 105.</t>
    <phoneticPr fontId="3" type="noConversion"/>
  </si>
  <si>
    <t>Plot No：571,269/1A2,267/6,267/7,Aequitas Road,</t>
    <phoneticPr fontId="3" type="noConversion"/>
  </si>
  <si>
    <t>付款單</t>
    <phoneticPr fontId="3" type="noConversion"/>
  </si>
  <si>
    <t>單據備註：</t>
    <phoneticPr fontId="3" type="noConversion"/>
  </si>
  <si>
    <t>實領數量
The actual quantity</t>
    <phoneticPr fontId="3" type="noConversion"/>
  </si>
  <si>
    <t>製令用料
Order materials</t>
    <phoneticPr fontId="3" type="noConversion"/>
  </si>
  <si>
    <t>原料編號
Raw material number</t>
    <phoneticPr fontId="3" type="noConversion"/>
  </si>
  <si>
    <t>序</t>
  </si>
  <si>
    <t>領用人員: test 
Material receiving staff：</t>
    <phoneticPr fontId="3" type="noConversion"/>
  </si>
  <si>
    <t>預計出貨日：
Date of shipment：</t>
    <phoneticPr fontId="3" type="noConversion"/>
  </si>
  <si>
    <t>廠內製令單&amp;領料單</t>
    <phoneticPr fontId="3" type="noConversion"/>
  </si>
  <si>
    <t xml:space="preserve"> E-3-2</t>
    <phoneticPr fontId="3" type="noConversion"/>
  </si>
  <si>
    <t>餘料退回</t>
    <phoneticPr fontId="3" type="noConversion"/>
  </si>
  <si>
    <t>M2</t>
    <phoneticPr fontId="3" type="noConversion"/>
  </si>
  <si>
    <t>HCC10.0*7.0*86*O</t>
  </si>
  <si>
    <t>備註
Remarks</t>
    <phoneticPr fontId="3" type="noConversion"/>
  </si>
  <si>
    <t>庫別
Kube</t>
    <phoneticPr fontId="3" type="noConversion"/>
  </si>
  <si>
    <t>單位
Unit</t>
    <phoneticPr fontId="3" type="noConversion"/>
  </si>
  <si>
    <t>退回數量
Return quantity</t>
    <phoneticPr fontId="3" type="noConversion"/>
  </si>
  <si>
    <t>料品編號
Material  number</t>
    <phoneticPr fontId="3" type="noConversion"/>
  </si>
  <si>
    <t>人員：
Personnel：</t>
    <phoneticPr fontId="3" type="noConversion"/>
  </si>
  <si>
    <t>生產批號:
Generate batch number：</t>
    <phoneticPr fontId="3" type="noConversion"/>
  </si>
  <si>
    <t>產品規格:   
Product specifications：</t>
    <phoneticPr fontId="3" type="noConversion"/>
  </si>
  <si>
    <t>退回單號: 202604010001
Return order number：</t>
    <phoneticPr fontId="3" type="noConversion"/>
  </si>
  <si>
    <t>退料人員：
Returning personnel：</t>
    <phoneticPr fontId="3" type="noConversion"/>
  </si>
  <si>
    <t>日期: 2026/04/01
Date：</t>
    <phoneticPr fontId="3" type="noConversion"/>
  </si>
  <si>
    <t>退回部門：
Return to the department：</t>
    <phoneticPr fontId="3" type="noConversion"/>
  </si>
  <si>
    <t>KST TERMINALS (INDIA) MANUFACTURING PRIVATE LIMITE</t>
    <phoneticPr fontId="3" type="noConversion"/>
  </si>
  <si>
    <t>領料退回單</t>
    <phoneticPr fontId="3" type="noConversion"/>
  </si>
  <si>
    <t>F-1-2</t>
    <phoneticPr fontId="3" type="noConversion"/>
  </si>
  <si>
    <t>總量：90KG    4件20KG，1件10KG</t>
    <phoneticPr fontId="3" type="noConversion"/>
  </si>
  <si>
    <t>5</t>
    <phoneticPr fontId="3" type="noConversion"/>
  </si>
  <si>
    <t xml:space="preserve">    PC</t>
  </si>
  <si>
    <t>ROS1-4</t>
  </si>
  <si>
    <t>件數
Number of pieces</t>
    <phoneticPr fontId="3" type="noConversion"/>
  </si>
  <si>
    <t>調撥人：
Trensfer people：</t>
    <phoneticPr fontId="3" type="noConversion"/>
  </si>
  <si>
    <t>調出庫別:M2 半成品倉  
Transfgr out of the warehouse：</t>
    <phoneticPr fontId="3" type="noConversion"/>
  </si>
  <si>
    <t>貨  運 ：
Freight：</t>
    <phoneticPr fontId="3" type="noConversion"/>
  </si>
  <si>
    <t>送貨地址： 
Delivery address：</t>
    <phoneticPr fontId="3" type="noConversion"/>
  </si>
  <si>
    <t>單號 ：202601000006
Order number：</t>
    <phoneticPr fontId="3" type="noConversion"/>
  </si>
  <si>
    <t xml:space="preserve">日  期 ：
Date： </t>
    <phoneticPr fontId="3" type="noConversion"/>
  </si>
  <si>
    <t>供 應 商：S670 健鋅企業社
Supplier：</t>
    <phoneticPr fontId="3" type="noConversion"/>
  </si>
  <si>
    <t>調 撥 單</t>
    <phoneticPr fontId="3" type="noConversion"/>
  </si>
  <si>
    <t>6-5-1</t>
    <phoneticPr fontId="3" type="noConversion"/>
  </si>
  <si>
    <t xml:space="preserve">  半成品倉</t>
  </si>
  <si>
    <t>RNB1-3.2</t>
  </si>
  <si>
    <t>202602000002</t>
  </si>
  <si>
    <t>摘要
Abstract</t>
    <phoneticPr fontId="3" type="noConversion"/>
  </si>
  <si>
    <t>庫別
Kube</t>
    <phoneticPr fontId="3" type="noConversion"/>
  </si>
  <si>
    <t>實收數量
The astual quantity</t>
    <phoneticPr fontId="3" type="noConversion"/>
  </si>
  <si>
    <t>單位
Unit</t>
    <phoneticPr fontId="3" type="noConversion"/>
  </si>
  <si>
    <t>料品編號
Material  number</t>
    <phoneticPr fontId="3" type="noConversion"/>
  </si>
  <si>
    <t>加工單號
Processing order number</t>
    <phoneticPr fontId="3" type="noConversion"/>
  </si>
  <si>
    <t>審核：
Review：</t>
    <phoneticPr fontId="3" type="noConversion"/>
  </si>
  <si>
    <t>收料人員：
Receiver：</t>
    <phoneticPr fontId="3" type="noConversion"/>
  </si>
  <si>
    <t xml:space="preserve">供應商：S670 健鋅企業社                    
Supplier：                                </t>
    <phoneticPr fontId="3" type="noConversion"/>
  </si>
  <si>
    <t>單號 :202512000001
Order number：</t>
    <phoneticPr fontId="3" type="noConversion"/>
  </si>
  <si>
    <t>日期：2026/02/11    
Date：</t>
    <phoneticPr fontId="3" type="noConversion"/>
  </si>
  <si>
    <t>KST TERMINALS (INDIA) MANUFACTURING PRIVATE LIMITE</t>
    <phoneticPr fontId="3" type="noConversion"/>
  </si>
  <si>
    <t>(託外)收料單</t>
  </si>
  <si>
    <t>6-3-1</t>
    <phoneticPr fontId="3" type="noConversion"/>
  </si>
  <si>
    <t>202602000006</t>
  </si>
  <si>
    <t>ROB1-3.2</t>
  </si>
  <si>
    <t>生產批號
Production batch number</t>
    <phoneticPr fontId="3" type="noConversion"/>
  </si>
  <si>
    <t>繳庫人員：
Treasury personnel：</t>
    <phoneticPr fontId="3" type="noConversion"/>
  </si>
  <si>
    <t>單號: 202602000006
Order number：</t>
    <phoneticPr fontId="3" type="noConversion"/>
  </si>
  <si>
    <t>部門: S641  焊接組  
Department：</t>
    <phoneticPr fontId="3" type="noConversion"/>
  </si>
  <si>
    <t>日期: 2026/02/11
Date：</t>
    <phoneticPr fontId="3" type="noConversion"/>
  </si>
  <si>
    <t>庫別: M2  半成品倉   
Kube：</t>
    <phoneticPr fontId="3" type="noConversion"/>
  </si>
  <si>
    <t>繳 庫 單</t>
    <phoneticPr fontId="3" type="noConversion"/>
  </si>
  <si>
    <t>F-2-1</t>
    <phoneticPr fontId="3" type="noConversion"/>
  </si>
  <si>
    <t>T-NYC1.5-D-BLACK</t>
  </si>
  <si>
    <t>日期： 2026/04/01
Date：</t>
    <phoneticPr fontId="3" type="noConversion"/>
  </si>
  <si>
    <t>庫別：M9  射出原料倉          
Kube：</t>
    <phoneticPr fontId="3" type="noConversion"/>
  </si>
  <si>
    <t xml:space="preserve">繳 庫 退 回 </t>
    <phoneticPr fontId="3" type="noConversion"/>
  </si>
  <si>
    <t>F-2-2</t>
    <phoneticPr fontId="3" type="noConversion"/>
  </si>
  <si>
    <t>換算數誤差</t>
    <phoneticPr fontId="3" type="noConversion"/>
  </si>
  <si>
    <t>M2</t>
    <phoneticPr fontId="3" type="noConversion"/>
  </si>
  <si>
    <t>PC</t>
    <phoneticPr fontId="3" type="noConversion"/>
  </si>
  <si>
    <t>N-E1508</t>
    <phoneticPr fontId="3" type="noConversion"/>
  </si>
  <si>
    <t>備註
Remarks</t>
    <phoneticPr fontId="3" type="noConversion"/>
  </si>
  <si>
    <t>庫別
Kube</t>
    <phoneticPr fontId="3" type="noConversion"/>
  </si>
  <si>
    <t>數量
Quantity</t>
    <phoneticPr fontId="3" type="noConversion"/>
  </si>
  <si>
    <t>單位
Unit</t>
    <phoneticPr fontId="3" type="noConversion"/>
  </si>
  <si>
    <t>料品編號
Material  number</t>
    <phoneticPr fontId="3" type="noConversion"/>
  </si>
  <si>
    <t>日期
Date：</t>
    <phoneticPr fontId="3" type="noConversion"/>
  </si>
  <si>
    <t>審核：
Review：</t>
    <phoneticPr fontId="3" type="noConversion"/>
  </si>
  <si>
    <t>人員：
Personnel：</t>
    <phoneticPr fontId="3" type="noConversion"/>
  </si>
  <si>
    <t>類別：雜入或 雜出
Class：Mixed in &amp; Miscellaneous</t>
    <phoneticPr fontId="3" type="noConversion"/>
  </si>
  <si>
    <t>KST TERMINALS (INDIA) MANUFACTURING PRIVATE LIMITE</t>
    <phoneticPr fontId="3" type="noConversion"/>
  </si>
  <si>
    <t>雜入出庫單</t>
    <phoneticPr fontId="3" type="noConversion"/>
  </si>
  <si>
    <t>G-9</t>
    <phoneticPr fontId="3" type="noConversion"/>
  </si>
  <si>
    <t>總表!A1</t>
  </si>
  <si>
    <t>Form name</t>
  </si>
  <si>
    <t>Purchase order</t>
  </si>
  <si>
    <t>(採購)收料單
(Procurement)Receipt</t>
  </si>
  <si>
    <t>(Procurement)Receipt</t>
  </si>
  <si>
    <t>付款單
Payment form</t>
  </si>
  <si>
    <t>Payment form</t>
  </si>
  <si>
    <t>廠內製令單
Order list</t>
  </si>
  <si>
    <t>Order list</t>
  </si>
  <si>
    <t>領料退回單
Material return form</t>
  </si>
  <si>
    <t>Material return form</t>
  </si>
  <si>
    <t>調 撥 單
Transfer list</t>
  </si>
  <si>
    <t>Transfer list</t>
  </si>
  <si>
    <t>(託外)收料單
(Outside the trust)Receipt</t>
  </si>
  <si>
    <t>(Outside the trust)Receipt</t>
  </si>
  <si>
    <t>繳 庫 單
The library list</t>
  </si>
  <si>
    <t>The library list</t>
  </si>
  <si>
    <t>繳 庫 退 回 
Return to the treasury</t>
  </si>
  <si>
    <t>Return to the treasury</t>
  </si>
  <si>
    <t>雜入出庫單
Mixed and outbound list</t>
  </si>
  <si>
    <t>Mixed and outbound list</t>
  </si>
  <si>
    <t>Purchase Requisition</t>
  </si>
  <si>
    <t>請購單
Purchase Requisition</t>
  </si>
  <si>
    <t>Kst Terminals (India) Private Limited</t>
  </si>
  <si>
    <t>NO: 267/5, 269/1A2, 267/6 ULUNDAI VILLAGE AND POST, KADAMBATHUR UNION, THIRUVALLUR, TAMIL NADU PIN CODE: 602 105.                                                                                                                                                                                                GSTIN: 33AALCK4971G1ZC</t>
  </si>
  <si>
    <t>PURCHASE ORDER</t>
  </si>
  <si>
    <r>
      <t>DATE</t>
    </r>
    <r>
      <rPr>
        <b/>
        <sz val="9"/>
        <rFont val="細明體"/>
        <family val="3"/>
        <charset val="136"/>
      </rPr>
      <t>日期</t>
    </r>
    <r>
      <rPr>
        <b/>
        <sz val="9"/>
        <rFont val="Arial"/>
        <family val="2"/>
      </rPr>
      <t>:</t>
    </r>
  </si>
  <si>
    <r>
      <t>PURCHASE ORDER NO</t>
    </r>
    <r>
      <rPr>
        <b/>
        <sz val="9"/>
        <rFont val="細明體"/>
        <family val="3"/>
        <charset val="136"/>
      </rPr>
      <t>採購訂單號</t>
    </r>
    <r>
      <rPr>
        <b/>
        <sz val="9"/>
        <rFont val="Arial"/>
        <family val="2"/>
      </rPr>
      <t>.:</t>
    </r>
  </si>
  <si>
    <t>Vendor Information(供應商資訊)</t>
    <phoneticPr fontId="13" type="noConversion"/>
  </si>
  <si>
    <r>
      <t>VENDOR NAME(</t>
    </r>
    <r>
      <rPr>
        <b/>
        <sz val="8"/>
        <color theme="1"/>
        <rFont val="細明體"/>
        <family val="3"/>
        <charset val="136"/>
      </rPr>
      <t>供應商名稱)</t>
    </r>
    <r>
      <rPr>
        <b/>
        <sz val="8"/>
        <color theme="1"/>
        <rFont val="Arial Narrow"/>
        <family val="2"/>
      </rPr>
      <t>:</t>
    </r>
  </si>
  <si>
    <t xml:space="preserve">GST: </t>
  </si>
  <si>
    <t>ADDRESS</t>
  </si>
  <si>
    <r>
      <t>CONTACT NO</t>
    </r>
    <r>
      <rPr>
        <sz val="11"/>
        <color theme="1"/>
        <rFont val="細明體"/>
        <family val="3"/>
        <charset val="136"/>
      </rPr>
      <t>聯絡電話：</t>
    </r>
    <r>
      <rPr>
        <sz val="11"/>
        <color theme="1"/>
        <rFont val="Arial"/>
        <family val="2"/>
      </rPr>
      <t xml:space="preserve">: </t>
    </r>
  </si>
  <si>
    <t xml:space="preserve">Email: </t>
  </si>
  <si>
    <t>Karthick</t>
  </si>
  <si>
    <t>PRF No:</t>
  </si>
  <si>
    <t>Item No.
品號</t>
    <phoneticPr fontId="13" type="noConversion"/>
  </si>
  <si>
    <t>Details(詳細資訊)</t>
    <phoneticPr fontId="13" type="noConversion"/>
  </si>
  <si>
    <t>Unit
單位</t>
    <phoneticPr fontId="13" type="noConversion"/>
  </si>
  <si>
    <t>Quantity
數量</t>
    <phoneticPr fontId="13" type="noConversion"/>
  </si>
  <si>
    <t>Unit Price
單價</t>
    <phoneticPr fontId="13" type="noConversion"/>
  </si>
  <si>
    <t>Total</t>
  </si>
  <si>
    <r>
      <t>Additional Notes</t>
    </r>
    <r>
      <rPr>
        <b/>
        <sz val="11"/>
        <color theme="0"/>
        <rFont val="細明體"/>
        <family val="3"/>
        <charset val="136"/>
      </rPr>
      <t>附註：</t>
    </r>
  </si>
  <si>
    <t>Subtotal</t>
  </si>
  <si>
    <t>Note:</t>
  </si>
  <si>
    <t>Taxes CGST</t>
  </si>
  <si>
    <t>Taxes SGST</t>
  </si>
  <si>
    <t>Authorized By</t>
  </si>
  <si>
    <t>For KST TERMINALS INDIA MANUFACTURING PVT LTD</t>
  </si>
  <si>
    <t>AUTHORISIED SIGNATORY</t>
  </si>
  <si>
    <t>Payment Terms</t>
  </si>
  <si>
    <t>1.Delivery Date: 60 days from the date of order or as otherwise agreed / work completion will be within 2 weeks.</t>
  </si>
  <si>
    <t>Terms And Conditions</t>
  </si>
  <si>
    <t xml:space="preserve">1.The Seller shall comply with the quality, quantity, delivery date, and other requirements specified in this Purchase Order. </t>
    <phoneticPr fontId="1" type="noConversion"/>
  </si>
  <si>
    <t xml:space="preserve">   In case of non-performance, the Buyer reserves the right to claim all damages.</t>
    <phoneticPr fontId="1" type="noConversion"/>
  </si>
  <si>
    <t>2.The Seller shall comply with our company’s Hazardous Substances Management requirements (including RoHS). notification.</t>
    <phoneticPr fontId="1" type="noConversion"/>
  </si>
  <si>
    <t xml:space="preserve">   If there are any changes in process or materials resulting in non-compliance with such regulations, the Seller is obligated to provide </t>
    <phoneticPr fontId="1" type="noConversion"/>
  </si>
  <si>
    <t>3.Please refer to KST’s Environmental Substance Management Standard on our website: http://www.ksterminals.com.tw/hs_index.asp</t>
    <phoneticPr fontId="1" type="noConversion"/>
  </si>
  <si>
    <t>4.If this Purchase Order is not accepted, please notify us within two (2) days; otherwise,</t>
    <phoneticPr fontId="1" type="noConversion"/>
  </si>
  <si>
    <t xml:space="preserve">   it shall be deemed as acceptance by the Seller of all terms and conditions herein.</t>
    <phoneticPr fontId="1" type="noConversion"/>
  </si>
  <si>
    <t>5.The delivery note must state our Purchase Order number. The delivered quantity shall be controlled within ±10%;</t>
    <phoneticPr fontId="1" type="noConversion"/>
  </si>
  <si>
    <t xml:space="preserve">   shall correspond to the actual delivery details.any excess will not be paid. An invoice must be attached with the shipment, </t>
    <phoneticPr fontId="1" type="noConversion"/>
  </si>
  <si>
    <t xml:space="preserve">   and the item description, quantity, and unit price on the invoice </t>
    <phoneticPr fontId="1" type="noConversion"/>
  </si>
  <si>
    <t>6.The Supplier shall comply with all applicable laws and regulations of the country of product sales, procurement,and manufacturing, as well as specific requirements from KST’s customers.</t>
    <phoneticPr fontId="1" type="noConversion"/>
  </si>
  <si>
    <t xml:space="preserve">   and manufacturing, as well as specific requirements from KST’s customers.</t>
    <phoneticPr fontId="1" type="noConversion"/>
  </si>
  <si>
    <t>7.Payment terms: The payment request must be submitted before the 3rd day of the following month; otherwise,return envelope.</t>
    <phoneticPr fontId="1" type="noConversion"/>
  </si>
  <si>
    <t xml:space="preserve">   it will be processed in the subsequent month. Payment will be made via EDI wire transfer. For postal remittance, please enclose a self-addressed </t>
    <phoneticPr fontId="1" type="noConversion"/>
  </si>
  <si>
    <t>8.In case of any payment deduction or discrepancy, please first check the deduction details on the check return slip.</t>
    <phoneticPr fontId="1" type="noConversion"/>
  </si>
  <si>
    <t xml:space="preserve">   If the discrepancy cannot be verified, please contact us immediately for clarification. Delays in inquiry should be avoided.</t>
    <phoneticPr fontId="1" type="noConversion"/>
  </si>
  <si>
    <t>WS001</t>
  </si>
  <si>
    <t>單據日期：04/22/2026 
Date：</t>
  </si>
  <si>
    <t>單據編號：202604220001
Number：</t>
  </si>
  <si>
    <t>產品名稱：TE-E1508-RED
Product name：</t>
  </si>
  <si>
    <t>客戶名稱：EA4048
Customer's name：</t>
  </si>
  <si>
    <t xml:space="preserve"> 訂單編號：202604200001
Order number：</t>
  </si>
  <si>
    <t>製令數量：100,000PC
The number of orders：</t>
  </si>
  <si>
    <t>TE-E1508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</si>
</sst>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_ "/>
    <numFmt numFmtId="165" formatCode="_([$INR]\ * #,##0.00_);_([$INR]\ * \(#,##0.00\);_([$INR]\ * &quot;-&quot;??_);_(@_)"/>
    <numFmt numFmtId="166" formatCode="_([$INR]\ * #,##0_);_([$INR]\ * \(#,##0\);_([$INR]\ * &quot;-&quot;??_);_(@_)"/>
  </numFmts>
  <fonts count="44">
    <font>
      <sz val="12"/>
      <color theme="1"/>
      <name val="Calibri"/>
      <family val="2"/>
      <charset val="136"/>
      <scheme val="minor"/>
    </font>
    <font>
      <sz val="16"/>
      <color theme="1"/>
      <name val="Calibri"/>
      <family val="2"/>
      <charset val="136"/>
      <scheme val="minor"/>
    </font>
    <font>
      <b/>
      <sz val="14"/>
      <color theme="1"/>
      <name val="Calibri"/>
      <family val="1"/>
      <charset val="136"/>
      <scheme val="minor"/>
    </font>
    <font>
      <sz val="9"/>
      <name val="Calibri"/>
      <family val="2"/>
      <charset val="136"/>
      <scheme val="minor"/>
    </font>
    <font>
      <sz val="12"/>
      <color theme="1"/>
      <name val="Calibri"/>
      <family val="1"/>
      <charset val="136"/>
      <scheme val="minor"/>
    </font>
    <font>
      <b/>
      <sz val="12"/>
      <color theme="1"/>
      <name val="Calibri"/>
      <family val="1"/>
      <charset val="136"/>
      <scheme val="minor"/>
    </font>
    <font>
      <sz val="14"/>
      <color theme="1"/>
      <name val="Calibri"/>
      <family val="2"/>
      <charset val="136"/>
      <scheme val="minor"/>
    </font>
    <font>
      <sz val="14"/>
      <color theme="1"/>
      <name val="Calibri"/>
      <family val="1"/>
      <charset val="136"/>
      <scheme val="minor"/>
    </font>
    <font>
      <u/>
      <sz val="12"/>
      <color theme="10"/>
      <name val="Calibri"/>
      <family val="2"/>
      <charset val="136"/>
      <scheme val="minor"/>
    </font>
    <font>
      <sz val="16"/>
      <color theme="1"/>
      <name val="Calibri"/>
      <family val="1"/>
      <charset val="136"/>
      <scheme val="minor"/>
    </font>
    <font>
      <b/>
      <sz val="16"/>
      <color theme="1"/>
      <name val="Calibri"/>
      <family val="1"/>
      <charset val="136"/>
      <scheme val="minor"/>
    </font>
    <font>
      <sz val="10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name val="Arial"/>
      <family val="2"/>
    </font>
    <font>
      <sz val="11"/>
      <color theme="1"/>
      <name val="Arial Narrow"/>
      <family val="2"/>
    </font>
    <font>
      <sz val="22"/>
      <color theme="1"/>
      <name val="Arial Rounded MT Bold"/>
      <family val="2"/>
    </font>
    <font>
      <sz val="11"/>
      <color rgb="FF002060"/>
      <name val="Arial"/>
      <family val="2"/>
    </font>
    <font>
      <sz val="11"/>
      <color rgb="FF008B8B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11"/>
      <color theme="1"/>
      <name val="Arial"/>
      <family val="2"/>
    </font>
    <font>
      <sz val="9"/>
      <color rgb="FF008B8B"/>
      <name val="Arial"/>
      <family val="2"/>
    </font>
    <font>
      <sz val="11"/>
      <color rgb="FF008B8B"/>
      <name val="Arial Narrow"/>
      <family val="2"/>
    </font>
    <font>
      <b/>
      <sz val="9"/>
      <name val="Arial"/>
      <family val="2"/>
    </font>
    <font>
      <b/>
      <sz val="9"/>
      <name val="細明體"/>
      <family val="3"/>
      <charset val="136"/>
    </font>
    <font>
      <b/>
      <sz val="14"/>
      <name val="Arial Narrow"/>
      <family val="2"/>
    </font>
    <font>
      <b/>
      <sz val="8"/>
      <color theme="1"/>
      <name val="Arial Narrow"/>
      <family val="2"/>
    </font>
    <font>
      <b/>
      <sz val="8"/>
      <color theme="1"/>
      <name val="細明體"/>
      <family val="3"/>
      <charset val="136"/>
    </font>
    <font>
      <sz val="8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theme="1"/>
      <name val="Arial"/>
      <family val="2"/>
    </font>
    <font>
      <sz val="11"/>
      <color theme="1"/>
      <name val="細明體"/>
      <family val="3"/>
      <charset val="136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color rgb="FF0A0A0A"/>
      <name val="Calibri"/>
      <family val="2"/>
      <scheme val="minor"/>
    </font>
    <font>
      <b/>
      <sz val="11"/>
      <color theme="0"/>
      <name val="Arial Narrow"/>
      <family val="2"/>
    </font>
    <font>
      <b/>
      <sz val="11"/>
      <color theme="0"/>
      <name val="細明體"/>
      <family val="3"/>
      <charset val="136"/>
    </font>
    <font>
      <b/>
      <sz val="9"/>
      <color theme="1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8B8B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double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13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1" xfId="0" applyFont="1" applyBorder="1">
      <alignment vertical="center"/>
    </xf>
    <xf numFmtId="0" fontId="5" fillId="0" borderId="0" xfId="0" applyFont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8" fillId="0" borderId="1" xfId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49" fontId="4" fillId="0" borderId="1" xfId="0" applyNumberFormat="1" applyFont="1" applyBorder="1">
      <alignment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49" fontId="5" fillId="0" borderId="1" xfId="0" applyNumberFormat="1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/>
    </xf>
    <xf numFmtId="0" fontId="9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0" fontId="6" fillId="0" borderId="0" xfId="0" applyFont="1">
      <alignment vertical="center"/>
    </xf>
    <xf numFmtId="0" fontId="11" fillId="0" borderId="0" xfId="0" applyFont="1">
      <alignment vertical="center"/>
    </xf>
    <xf numFmtId="164" fontId="0" fillId="0" borderId="1" xfId="0" applyNumberForma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14" fontId="4" fillId="0" borderId="1" xfId="0" applyNumberFormat="1" applyFont="1" applyBorder="1">
      <alignment vertical="center"/>
    </xf>
    <xf numFmtId="0" fontId="8" fillId="2" borderId="0" xfId="1" applyFill="1">
      <alignment vertical="center"/>
    </xf>
    <xf numFmtId="0" fontId="16" fillId="0" borderId="0" xfId="0" applyFont="1">
      <alignment vertical="center"/>
    </xf>
    <xf numFmtId="0" fontId="17" fillId="0" borderId="0" xfId="0" applyFont="1" applyAlignment="1">
      <alignment horizontal="center"/>
    </xf>
    <xf numFmtId="0" fontId="16" fillId="0" borderId="0" xfId="0" applyFont="1" applyAlignment="1"/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22" fillId="0" borderId="0" xfId="0" applyFont="1" applyAlignment="1"/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right"/>
    </xf>
    <xf numFmtId="0" fontId="25" fillId="0" borderId="0" xfId="0" applyFont="1" applyAlignment="1">
      <alignment horizontal="right"/>
    </xf>
    <xf numFmtId="15" fontId="27" fillId="0" borderId="5" xfId="0" applyNumberFormat="1" applyFont="1" applyBorder="1" applyAlignment="1">
      <alignment horizontal="left" vertical="center"/>
    </xf>
    <xf numFmtId="0" fontId="27" fillId="0" borderId="6" xfId="0" applyFont="1" applyBorder="1" applyAlignment="1">
      <alignment horizontal="left" vertical="center"/>
    </xf>
    <xf numFmtId="0" fontId="22" fillId="0" borderId="0" xfId="0" applyFont="1" applyAlignment="1">
      <alignment vertical="center" wrapText="1"/>
    </xf>
    <xf numFmtId="0" fontId="30" fillId="0" borderId="0" xfId="0" applyFont="1" applyAlignment="1"/>
    <xf numFmtId="0" fontId="14" fillId="3" borderId="7" xfId="0" applyFont="1" applyFill="1" applyBorder="1" applyAlignment="1">
      <alignment horizontal="center" wrapText="1"/>
    </xf>
    <xf numFmtId="0" fontId="14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34" fillId="0" borderId="1" xfId="0" applyFont="1" applyBorder="1" applyAlignment="1"/>
    <xf numFmtId="0" fontId="0" fillId="4" borderId="1" xfId="0" applyFill="1" applyBorder="1" applyAlignment="1">
      <alignment horizontal="center" vertical="center"/>
    </xf>
    <xf numFmtId="4" fontId="0" fillId="4" borderId="1" xfId="0" applyNumberFormat="1" applyFill="1" applyBorder="1" applyAlignment="1">
      <alignment horizontal="center" vertical="center"/>
    </xf>
    <xf numFmtId="3" fontId="35" fillId="4" borderId="1" xfId="0" applyNumberFormat="1" applyFont="1" applyFill="1" applyBorder="1" applyAlignment="1">
      <alignment horizontal="center" vertical="center"/>
    </xf>
    <xf numFmtId="165" fontId="0" fillId="4" borderId="1" xfId="0" applyNumberFormat="1" applyFill="1" applyBorder="1">
      <alignment vertical="center"/>
    </xf>
    <xf numFmtId="0" fontId="36" fillId="0" borderId="1" xfId="0" applyFont="1" applyBorder="1" applyAlignment="1"/>
    <xf numFmtId="3" fontId="0" fillId="0" borderId="1" xfId="0" applyNumberForma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>
      <alignment vertical="center"/>
    </xf>
    <xf numFmtId="4" fontId="16" fillId="0" borderId="1" xfId="0" applyNumberFormat="1" applyFont="1" applyBorder="1">
      <alignment vertical="center"/>
    </xf>
    <xf numFmtId="4" fontId="31" fillId="0" borderId="5" xfId="0" applyNumberFormat="1" applyFont="1" applyBorder="1" applyAlignment="1">
      <alignment horizontal="center" vertical="center"/>
    </xf>
    <xf numFmtId="0" fontId="31" fillId="0" borderId="9" xfId="0" applyFont="1" applyBorder="1" applyAlignment="1">
      <alignment vertical="top"/>
    </xf>
    <xf numFmtId="0" fontId="16" fillId="0" borderId="10" xfId="0" applyFont="1" applyBorder="1" applyAlignment="1">
      <alignment vertical="top"/>
    </xf>
    <xf numFmtId="9" fontId="16" fillId="0" borderId="0" xfId="0" applyNumberFormat="1" applyFont="1" applyAlignment="1">
      <alignment horizontal="center" vertical="center"/>
    </xf>
    <xf numFmtId="1" fontId="16" fillId="4" borderId="6" xfId="3" applyNumberFormat="1" applyFont="1" applyFill="1" applyBorder="1" applyAlignment="1">
      <alignment horizontal="center" vertical="center"/>
    </xf>
    <xf numFmtId="0" fontId="16" fillId="0" borderId="9" xfId="0" applyFont="1" applyBorder="1" applyAlignment="1">
      <alignment vertical="top"/>
    </xf>
    <xf numFmtId="1" fontId="16" fillId="4" borderId="6" xfId="2" applyNumberFormat="1" applyFont="1" applyFill="1" applyBorder="1" applyAlignment="1">
      <alignment horizontal="center" vertical="center"/>
    </xf>
    <xf numFmtId="0" fontId="31" fillId="0" borderId="10" xfId="0" applyFont="1" applyBorder="1" applyAlignment="1">
      <alignment vertical="top"/>
    </xf>
    <xf numFmtId="166" fontId="31" fillId="4" borderId="11" xfId="2" applyNumberFormat="1" applyFont="1" applyFill="1" applyBorder="1" applyAlignment="1">
      <alignment vertical="center"/>
    </xf>
    <xf numFmtId="0" fontId="39" fillId="0" borderId="9" xfId="0" applyFont="1" applyBorder="1">
      <alignment vertical="center"/>
    </xf>
    <xf numFmtId="0" fontId="39" fillId="0" borderId="0" xfId="0" applyFont="1">
      <alignment vertical="center"/>
    </xf>
    <xf numFmtId="0" fontId="22" fillId="0" borderId="0" xfId="0" applyFont="1">
      <alignment vertical="center"/>
    </xf>
    <xf numFmtId="0" fontId="16" fillId="0" borderId="13" xfId="0" applyFont="1" applyBorder="1" applyAlignment="1">
      <alignment vertical="top"/>
    </xf>
    <xf numFmtId="0" fontId="16" fillId="0" borderId="14" xfId="0" applyFont="1" applyBorder="1" applyAlignment="1">
      <alignment vertical="top"/>
    </xf>
    <xf numFmtId="0" fontId="39" fillId="0" borderId="0" xfId="0" applyFont="1" applyAlignment="1"/>
    <xf numFmtId="0" fontId="8" fillId="0" borderId="0" xfId="1" applyAlignment="1"/>
    <xf numFmtId="0" fontId="5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49" fontId="41" fillId="0" borderId="4" xfId="0" applyNumberFormat="1" applyFont="1" applyBorder="1" applyAlignment="1">
      <alignment horizontal="left" vertical="center"/>
    </xf>
    <xf numFmtId="49" fontId="41" fillId="0" borderId="15" xfId="0" applyNumberFormat="1" applyFont="1" applyBorder="1" applyAlignment="1">
      <alignment horizontal="left" vertical="center"/>
    </xf>
    <xf numFmtId="49" fontId="41" fillId="0" borderId="3" xfId="0" applyNumberFormat="1" applyFont="1" applyBorder="1" applyAlignment="1">
      <alignment horizontal="left" vertical="center"/>
    </xf>
    <xf numFmtId="49" fontId="41" fillId="0" borderId="4" xfId="0" applyNumberFormat="1" applyFont="1" applyBorder="1" applyAlignment="1">
      <alignment horizontal="left" vertical="center" wrapText="1"/>
    </xf>
    <xf numFmtId="49" fontId="41" fillId="0" borderId="15" xfId="0" applyNumberFormat="1" applyFont="1" applyBorder="1" applyAlignment="1">
      <alignment horizontal="left" vertical="center" wrapText="1"/>
    </xf>
    <xf numFmtId="49" fontId="41" fillId="0" borderId="3" xfId="0" applyNumberFormat="1" applyFont="1" applyBorder="1" applyAlignment="1">
      <alignment horizontal="left" vertical="center" wrapText="1"/>
    </xf>
    <xf numFmtId="49" fontId="40" fillId="0" borderId="4" xfId="0" applyNumberFormat="1" applyFont="1" applyBorder="1" applyAlignment="1">
      <alignment horizontal="center" vertical="center" wrapText="1"/>
    </xf>
    <xf numFmtId="49" fontId="40" fillId="0" borderId="15" xfId="0" applyNumberFormat="1" applyFont="1" applyBorder="1" applyAlignment="1">
      <alignment horizontal="center" vertical="center" wrapText="1"/>
    </xf>
    <xf numFmtId="49" fontId="40" fillId="0" borderId="3" xfId="0" applyNumberFormat="1" applyFont="1" applyBorder="1" applyAlignment="1">
      <alignment horizontal="center" vertical="center" wrapText="1"/>
    </xf>
    <xf numFmtId="0" fontId="31" fillId="0" borderId="0" xfId="0" applyFont="1" applyAlignment="1">
      <alignment horizontal="left" vertical="center"/>
    </xf>
    <xf numFmtId="0" fontId="37" fillId="5" borderId="0" xfId="0" applyFont="1" applyFill="1" applyAlignment="1">
      <alignment horizontal="left" vertical="center"/>
    </xf>
    <xf numFmtId="0" fontId="22" fillId="0" borderId="12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 wrapText="1"/>
    </xf>
    <xf numFmtId="0" fontId="32" fillId="0" borderId="1" xfId="0" applyFont="1" applyBorder="1" applyAlignment="1">
      <alignment horizontal="left"/>
    </xf>
    <xf numFmtId="0" fontId="31" fillId="0" borderId="1" xfId="0" applyFont="1" applyBorder="1" applyAlignment="1">
      <alignment horizontal="left"/>
    </xf>
    <xf numFmtId="0" fontId="37" fillId="5" borderId="9" xfId="0" applyFont="1" applyFill="1" applyBorder="1" applyAlignment="1">
      <alignment horizontal="left" vertical="center"/>
    </xf>
    <xf numFmtId="0" fontId="37" fillId="5" borderId="10" xfId="0" applyFont="1" applyFill="1" applyBorder="1" applyAlignment="1">
      <alignment horizontal="left" vertical="center"/>
    </xf>
    <xf numFmtId="0" fontId="28" fillId="0" borderId="1" xfId="0" applyFont="1" applyBorder="1" applyAlignment="1">
      <alignment horizontal="left"/>
    </xf>
    <xf numFmtId="0" fontId="32" fillId="0" borderId="1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0" fontId="14" fillId="3" borderId="7" xfId="0" applyFont="1" applyFill="1" applyBorder="1" applyAlignment="1">
      <alignment horizontal="left"/>
    </xf>
    <xf numFmtId="0" fontId="14" fillId="3" borderId="0" xfId="0" applyFont="1" applyFill="1" applyAlignment="1">
      <alignment horizontal="left"/>
    </xf>
    <xf numFmtId="0" fontId="14" fillId="3" borderId="8" xfId="0" applyFont="1" applyFill="1" applyBorder="1" applyAlignment="1">
      <alignment horizontal="left"/>
    </xf>
    <xf numFmtId="0" fontId="30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4">
    <cellStyle name="Comma" xfId="2" builtinId="3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373380</xdr:colOff>
      <xdr:row>0</xdr:row>
      <xdr:rowOff>38100</xdr:rowOff>
    </xdr:from>
    <xdr:to>
      <xdr:col>5</xdr:col>
      <xdr:colOff>891540</xdr:colOff>
      <xdr:row>2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DC80E9-536D-4AE4-8ED4-F6E7332E9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1105" y="38100"/>
          <a:ext cx="1270635" cy="529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activeCell="A6" sqref="A6"/>
    </sheetView>
  </sheetViews>
  <sheetFormatPr defaultRowHeight="18.75"/>
  <cols>
    <col min="1" max="1" width="8.875" style="18" customWidth="1"/>
    <col min="2" max="2" width="23.875" style="18" bestFit="1" customWidth="1"/>
    <col min="3" max="3" width="28" style="18" customWidth="1"/>
    <col min="4" max="4" width="11.375" style="20" bestFit="1" customWidth="1"/>
    <col min="5" max="16384" width="9" style="16"/>
  </cols>
  <sheetData>
    <row r="1" spans="1:4" ht="24.95" customHeight="1">
      <c r="A1" s="17" t="s">
        <v>22</v>
      </c>
      <c r="B1" s="17" t="s">
        <v>18</v>
      </c>
      <c r="C1" s="17" t="s">
        <v>163</v>
      </c>
      <c r="D1" s="19" t="s">
        <v>19</v>
      </c>
    </row>
    <row r="2" spans="1:4" ht="24.95" customHeight="1">
      <c r="A2" s="24">
        <v>1</v>
      </c>
      <c r="B2" s="17" t="s">
        <v>21</v>
      </c>
      <c r="C2" s="17" t="s">
        <v>183</v>
      </c>
      <c r="D2" s="21" t="s">
        <v>20</v>
      </c>
    </row>
    <row r="3" spans="1:4" ht="24.95" customHeight="1">
      <c r="A3" s="24">
        <v>2</v>
      </c>
      <c r="B3" s="17" t="s">
        <v>37</v>
      </c>
      <c r="C3" s="17" t="s">
        <v>164</v>
      </c>
      <c r="D3" s="21" t="s">
        <v>23</v>
      </c>
    </row>
    <row r="4" spans="1:4" ht="24.95" customHeight="1">
      <c r="A4" s="24">
        <v>3</v>
      </c>
      <c r="B4" s="17" t="s">
        <v>39</v>
      </c>
      <c r="C4" s="17" t="s">
        <v>166</v>
      </c>
      <c r="D4" s="21" t="s">
        <v>38</v>
      </c>
    </row>
    <row r="5" spans="1:4" ht="24.95" customHeight="1">
      <c r="A5" s="24">
        <v>4</v>
      </c>
      <c r="B5" s="17" t="s">
        <v>72</v>
      </c>
      <c r="C5" s="17" t="s">
        <v>168</v>
      </c>
      <c r="D5" s="21" t="s">
        <v>49</v>
      </c>
    </row>
    <row r="6" spans="1:4" ht="24.95" customHeight="1">
      <c r="A6" s="24">
        <v>5</v>
      </c>
      <c r="B6" s="17" t="s">
        <v>80</v>
      </c>
      <c r="C6" s="17" t="s">
        <v>170</v>
      </c>
      <c r="D6" s="21" t="s">
        <v>81</v>
      </c>
    </row>
    <row r="7" spans="1:4" ht="24.95" customHeight="1">
      <c r="A7" s="24">
        <v>6</v>
      </c>
      <c r="B7" s="17" t="s">
        <v>98</v>
      </c>
      <c r="C7" s="17" t="s">
        <v>172</v>
      </c>
      <c r="D7" s="21" t="s">
        <v>99</v>
      </c>
    </row>
    <row r="8" spans="1:4" ht="24.95" customHeight="1">
      <c r="A8" s="24">
        <v>7</v>
      </c>
      <c r="B8" s="17" t="s">
        <v>112</v>
      </c>
      <c r="C8" s="17" t="s">
        <v>174</v>
      </c>
      <c r="D8" s="21" t="s">
        <v>113</v>
      </c>
    </row>
    <row r="9" spans="1:4" ht="24.95" customHeight="1">
      <c r="A9" s="24">
        <v>8</v>
      </c>
      <c r="B9" s="17" t="s">
        <v>129</v>
      </c>
      <c r="C9" s="17" t="s">
        <v>176</v>
      </c>
      <c r="D9" s="21" t="s">
        <v>130</v>
      </c>
    </row>
    <row r="10" spans="1:4" ht="24.95" customHeight="1">
      <c r="A10" s="24">
        <v>9</v>
      </c>
      <c r="B10" s="17" t="s">
        <v>139</v>
      </c>
      <c r="C10" s="17" t="s">
        <v>178</v>
      </c>
      <c r="D10" s="21" t="s">
        <v>140</v>
      </c>
    </row>
    <row r="11" spans="1:4" ht="24.95" customHeight="1">
      <c r="A11" s="24">
        <v>10</v>
      </c>
      <c r="B11" s="17" t="s">
        <v>144</v>
      </c>
      <c r="C11" s="17" t="s">
        <v>180</v>
      </c>
      <c r="D11" s="21" t="s">
        <v>145</v>
      </c>
    </row>
    <row r="12" spans="1:4" ht="24.95" customHeight="1">
      <c r="A12" s="24">
        <v>11</v>
      </c>
      <c r="B12" s="17" t="s">
        <v>160</v>
      </c>
      <c r="C12" s="17" t="s">
        <v>182</v>
      </c>
      <c r="D12" s="21" t="s">
        <v>161</v>
      </c>
    </row>
    <row r="13" spans="1:4" ht="24.95" customHeight="1">
      <c r="A13" s="17"/>
      <c r="B13" s="17"/>
      <c r="C13" s="17"/>
      <c r="D13" s="21"/>
    </row>
    <row r="14" spans="1:4" ht="24.95" customHeight="1">
      <c r="A14" s="17"/>
      <c r="B14" s="17"/>
      <c r="C14" s="17"/>
      <c r="D14" s="21"/>
    </row>
    <row r="15" spans="1:4" ht="24.95" customHeight="1">
      <c r="A15" s="17"/>
      <c r="B15" s="17"/>
      <c r="C15" s="17"/>
      <c r="D15" s="21"/>
    </row>
    <row r="16" spans="1:4" ht="24.95" customHeight="1">
      <c r="A16" s="17"/>
      <c r="B16" s="17"/>
      <c r="C16" s="17"/>
      <c r="D16" s="21"/>
    </row>
  </sheetData>
  <phoneticPr fontId="3" type="noConversion"/>
  <hyperlinks>
    <hyperlink ref="A2" location="'請購單-PR'!A1" display="'請購單-PR'!A1" xr:uid="{00000000-0004-0000-0000-000000000000}"/>
    <hyperlink ref="A3" location="'採購單-PO'!A1" display="'採購單-PO'!A1" xr:uid="{00000000-0004-0000-0000-000001000000}"/>
    <hyperlink ref="A4" location="'(採購)收料單'!A1" display="'(採購)收料單'!A1" xr:uid="{00000000-0004-0000-0000-000002000000}"/>
    <hyperlink ref="A5" location="付款單!A1" display="付款單!A1" xr:uid="{00000000-0004-0000-0000-000003000000}"/>
    <hyperlink ref="A6" location="'廠內製令單&amp;領料單'!A1" display="'廠內製令單&amp;領料單'!A1" xr:uid="{00000000-0004-0000-0000-000004000000}"/>
    <hyperlink ref="A7" location="領料退回單!A1" display="領料退回單!A1" xr:uid="{00000000-0004-0000-0000-000005000000}"/>
    <hyperlink ref="A8" location="'調 撥 單'!A1" display="'調 撥 單'!A1" xr:uid="{00000000-0004-0000-0000-000006000000}"/>
    <hyperlink ref="A9" location="'(託外)收料單'!A1" display="'(託外)收料單'!A1" xr:uid="{00000000-0004-0000-0000-000007000000}"/>
    <hyperlink ref="A10" location="'繳 庫 單'!A1" display="'繳 庫 單'!A1" xr:uid="{00000000-0004-0000-0000-000008000000}"/>
    <hyperlink ref="A11" location="'繳 庫 退 回 '!A1" display="'繳 庫 退 回 '!A1" xr:uid="{00000000-0004-0000-0000-000009000000}"/>
    <hyperlink ref="A12" location="雜入出庫單!A1" display="雜入出庫單!A1" xr:uid="{00000000-0004-0000-0000-00000A000000}"/>
  </hyperlink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1">
    <tabColor rgb="FFFFC000"/>
    <pageSetUpPr fitToPage="1"/>
  </sheetPr>
  <dimension ref="A1:G13"/>
  <sheetViews>
    <sheetView showGridLines="0" tabSelected="1" workbookViewId="0">
      <selection activeCell="A2" sqref="A2:G2"/>
    </sheetView>
  </sheetViews>
  <sheetFormatPr defaultRowHeight="15.75"/>
  <cols>
    <col min="1" max="1" width="23.25" customWidth="1"/>
    <col min="2" max="2" width="13.625" customWidth="1"/>
    <col min="3" max="3" width="7.75" style="2" customWidth="1"/>
    <col min="4" max="4" width="13.375" customWidth="1"/>
    <col min="5" max="5" width="13.625" customWidth="1"/>
    <col min="6" max="6" width="21.625" style="2" customWidth="1"/>
    <col min="7" max="7" width="21.625" customWidth="1"/>
  </cols>
  <sheetData>
    <row r="1" spans="1:7" ht="21">
      <c r="A1" s="98" t="s">
        <v>4</v>
      </c>
      <c r="B1" s="98"/>
      <c r="C1" s="98"/>
      <c r="D1" s="98"/>
      <c r="E1" s="98"/>
      <c r="F1" s="98"/>
      <c r="G1" s="98"/>
    </row>
    <row r="2" spans="1:7" ht="43.5" customHeight="1">
      <c r="A2" s="99" t="s">
        <v>184</v>
      </c>
      <c r="B2" s="100"/>
      <c r="C2" s="100"/>
      <c r="D2" s="100"/>
      <c r="E2" s="100"/>
      <c r="F2" s="100"/>
      <c r="G2" s="100"/>
    </row>
    <row r="3" spans="1:7" s="3" customFormat="1" ht="40.5" customHeight="1">
      <c r="A3" s="13" t="s">
        <v>15</v>
      </c>
      <c r="B3" s="14"/>
      <c r="C3" s="101" t="s">
        <v>5</v>
      </c>
      <c r="D3" s="101"/>
      <c r="E3" s="101"/>
      <c r="F3" s="101" t="s">
        <v>16</v>
      </c>
      <c r="G3" s="102"/>
    </row>
    <row r="4" spans="1:7" s="3" customFormat="1" ht="38.25" customHeight="1">
      <c r="A4" s="97" t="s">
        <v>14</v>
      </c>
      <c r="B4" s="97"/>
      <c r="C4" s="97" t="s">
        <v>6</v>
      </c>
      <c r="D4" s="97"/>
      <c r="E4" s="97"/>
      <c r="F4" s="13" t="s">
        <v>7</v>
      </c>
      <c r="G4" s="9"/>
    </row>
    <row r="5" spans="1:7" s="4" customFormat="1" ht="53.25" customHeight="1">
      <c r="A5" s="15" t="s">
        <v>8</v>
      </c>
      <c r="B5" s="15" t="s">
        <v>9</v>
      </c>
      <c r="C5" s="15" t="s">
        <v>17</v>
      </c>
      <c r="D5" s="15" t="s">
        <v>10</v>
      </c>
      <c r="E5" s="15" t="s">
        <v>11</v>
      </c>
      <c r="F5" s="15" t="s">
        <v>12</v>
      </c>
      <c r="G5" s="15" t="s">
        <v>13</v>
      </c>
    </row>
    <row r="6" spans="1:7" s="7" customFormat="1" ht="24.95" customHeight="1">
      <c r="A6" s="5" t="s">
        <v>0</v>
      </c>
      <c r="B6" s="6">
        <v>300</v>
      </c>
      <c r="C6" s="10" t="s">
        <v>2</v>
      </c>
      <c r="D6" s="5" t="s">
        <v>1</v>
      </c>
      <c r="E6" s="6">
        <v>300</v>
      </c>
      <c r="F6" s="10" t="s">
        <v>3</v>
      </c>
      <c r="G6" s="5"/>
    </row>
    <row r="7" spans="1:7" s="3" customFormat="1" ht="24.95" customHeight="1">
      <c r="A7" s="8"/>
      <c r="B7" s="8"/>
      <c r="C7" s="11"/>
      <c r="D7" s="8"/>
      <c r="E7" s="8"/>
      <c r="F7" s="11"/>
      <c r="G7" s="8"/>
    </row>
    <row r="8" spans="1:7" ht="24.95" customHeight="1">
      <c r="A8" s="1"/>
      <c r="B8" s="1"/>
      <c r="C8" s="12"/>
      <c r="D8" s="1"/>
      <c r="E8" s="1"/>
      <c r="F8" s="12"/>
      <c r="G8" s="1"/>
    </row>
    <row r="9" spans="1:7" ht="24.95" customHeight="1">
      <c r="A9" s="1"/>
      <c r="B9" s="1"/>
      <c r="C9" s="12"/>
      <c r="D9" s="1"/>
      <c r="E9" s="1"/>
      <c r="F9" s="12"/>
      <c r="G9" s="1"/>
    </row>
    <row r="10" spans="1:7" ht="24.95" customHeight="1">
      <c r="A10" s="1"/>
      <c r="B10" s="1"/>
      <c r="C10" s="12"/>
      <c r="D10" s="1"/>
      <c r="E10" s="1"/>
      <c r="F10" s="12"/>
      <c r="G10" s="1"/>
    </row>
    <row r="11" spans="1:7" ht="24.95" customHeight="1">
      <c r="A11" s="1"/>
      <c r="B11" s="1"/>
      <c r="C11" s="12"/>
      <c r="D11" s="1"/>
      <c r="E11" s="1"/>
      <c r="F11" s="12"/>
      <c r="G11" s="1"/>
    </row>
    <row r="12" spans="1:7" ht="24.95" customHeight="1">
      <c r="A12" s="1"/>
      <c r="B12" s="1"/>
      <c r="C12" s="12"/>
      <c r="D12" s="1"/>
      <c r="E12" s="1"/>
      <c r="F12" s="12"/>
      <c r="G12" s="1"/>
    </row>
    <row r="13" spans="1:7" ht="24.95" customHeight="1">
      <c r="A13" s="1"/>
      <c r="B13" s="1"/>
      <c r="C13" s="12"/>
      <c r="D13" s="1"/>
      <c r="E13" s="1"/>
      <c r="F13" s="12"/>
      <c r="G13" s="1"/>
    </row>
  </sheetData>
  <mergeCells count="6">
    <mergeCell ref="C4:E4"/>
    <mergeCell ref="A4:B4"/>
    <mergeCell ref="A1:G1"/>
    <mergeCell ref="A2:G2"/>
    <mergeCell ref="F3:G3"/>
    <mergeCell ref="C3:E3"/>
  </mergeCells>
  <phoneticPr fontId="3" type="noConversion"/>
  <pageMargins left="7.874015748031496E-2" right="7.874015748031496E-2" top="0.39370078740157483" bottom="0.39370078740157483" header="0.31496062992125984" footer="0.31496062992125984"/>
  <pageSetup paperSize="9" scale="88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  <pageSetUpPr fitToPage="1"/>
  </sheetPr>
  <dimension ref="A1:I58"/>
  <sheetViews>
    <sheetView showGridLines="0" workbookViewId="0">
      <pane ySplit="8" topLeftCell="A9" activePane="bottomLeft" state="frozen"/>
      <selection pane="bottomLeft" activeCell="I4" sqref="I4"/>
    </sheetView>
  </sheetViews>
  <sheetFormatPr defaultColWidth="8" defaultRowHeight="16.5"/>
  <cols>
    <col min="1" max="1" width="7.875" style="55" customWidth="1"/>
    <col min="2" max="2" width="37.625" style="55" customWidth="1"/>
    <col min="3" max="3" width="5.625" style="55" customWidth="1"/>
    <col min="4" max="4" width="10" style="55" customWidth="1"/>
    <col min="5" max="5" width="9.875" style="55" customWidth="1"/>
    <col min="6" max="6" width="16" style="55" bestFit="1" customWidth="1"/>
    <col min="7" max="7" width="4.625" style="55" customWidth="1"/>
    <col min="8" max="16384" width="8" style="55"/>
  </cols>
  <sheetData>
    <row r="1" spans="1:9" s="53" customFormat="1" ht="31.5" customHeight="1">
      <c r="A1" s="124" t="s">
        <v>185</v>
      </c>
      <c r="B1" s="124"/>
      <c r="C1" s="124"/>
      <c r="D1" s="124"/>
      <c r="E1" s="124"/>
      <c r="F1" s="124"/>
    </row>
    <row r="2" spans="1:9" ht="12" customHeight="1">
      <c r="A2" s="54"/>
      <c r="B2" s="54"/>
      <c r="C2" s="54"/>
      <c r="D2" s="54"/>
      <c r="E2" s="54"/>
      <c r="F2" s="54"/>
    </row>
    <row r="3" spans="1:9" s="58" customFormat="1" ht="24.75" customHeight="1">
      <c r="A3" s="125" t="s">
        <v>186</v>
      </c>
      <c r="B3" s="125"/>
      <c r="C3" s="56"/>
      <c r="D3" s="57"/>
      <c r="E3" s="126" t="s">
        <v>187</v>
      </c>
      <c r="F3" s="126"/>
    </row>
    <row r="4" spans="1:9">
      <c r="A4" s="125"/>
      <c r="B4" s="125"/>
      <c r="C4" s="56"/>
      <c r="D4" s="59"/>
      <c r="E4" s="59"/>
      <c r="F4" s="60"/>
      <c r="I4" s="96" t="s">
        <v>162</v>
      </c>
    </row>
    <row r="5" spans="1:9" ht="18">
      <c r="A5" s="125"/>
      <c r="B5" s="125"/>
      <c r="C5" s="56"/>
      <c r="D5" s="56"/>
      <c r="E5" s="61" t="s">
        <v>188</v>
      </c>
      <c r="F5" s="62"/>
    </row>
    <row r="6" spans="1:9" ht="18">
      <c r="A6" s="125"/>
      <c r="B6" s="125"/>
      <c r="C6" s="56"/>
      <c r="D6" s="56"/>
      <c r="E6" s="61" t="s">
        <v>189</v>
      </c>
      <c r="F6" s="63"/>
    </row>
    <row r="7" spans="1:9" ht="8.25" customHeight="1">
      <c r="A7" s="64"/>
      <c r="B7" s="64"/>
      <c r="C7" s="64"/>
    </row>
    <row r="8" spans="1:9">
      <c r="A8" s="127" t="s">
        <v>190</v>
      </c>
      <c r="B8" s="128"/>
      <c r="C8" s="128"/>
      <c r="D8" s="128"/>
      <c r="E8" s="128"/>
      <c r="F8" s="129"/>
    </row>
    <row r="9" spans="1:9" s="65" customFormat="1" ht="12.75">
      <c r="A9" s="122" t="s">
        <v>191</v>
      </c>
      <c r="B9" s="122"/>
      <c r="C9" s="130"/>
      <c r="D9" s="130"/>
      <c r="E9" s="130"/>
      <c r="F9" s="130"/>
    </row>
    <row r="10" spans="1:9">
      <c r="A10" s="119"/>
      <c r="B10" s="119"/>
      <c r="C10" s="119" t="s">
        <v>192</v>
      </c>
      <c r="D10" s="119"/>
      <c r="E10" s="119"/>
      <c r="F10" s="119"/>
    </row>
    <row r="11" spans="1:9" s="65" customFormat="1" ht="12.75">
      <c r="A11" s="122" t="s">
        <v>193</v>
      </c>
      <c r="B11" s="122"/>
      <c r="C11" s="122"/>
      <c r="D11" s="122"/>
      <c r="E11" s="122"/>
      <c r="F11" s="122"/>
    </row>
    <row r="12" spans="1:9" ht="47.25" customHeight="1">
      <c r="A12" s="123"/>
      <c r="B12" s="123"/>
      <c r="C12" s="123"/>
      <c r="D12" s="123"/>
      <c r="E12" s="123"/>
      <c r="F12" s="123"/>
    </row>
    <row r="13" spans="1:9" s="65" customFormat="1" ht="15.75">
      <c r="A13" s="116" t="s">
        <v>194</v>
      </c>
      <c r="B13" s="116"/>
      <c r="C13" s="117" t="s">
        <v>195</v>
      </c>
      <c r="D13" s="116"/>
      <c r="E13" s="116"/>
      <c r="F13" s="116"/>
    </row>
    <row r="14" spans="1:9">
      <c r="A14" s="118" t="s">
        <v>196</v>
      </c>
      <c r="B14" s="118"/>
      <c r="C14" s="119" t="s">
        <v>197</v>
      </c>
      <c r="D14" s="119"/>
      <c r="E14" s="119"/>
      <c r="F14" s="119"/>
    </row>
    <row r="15" spans="1:9" ht="30" customHeight="1">
      <c r="A15" s="66" t="s">
        <v>198</v>
      </c>
      <c r="B15" s="67" t="s">
        <v>199</v>
      </c>
      <c r="C15" s="68" t="s">
        <v>200</v>
      </c>
      <c r="D15" s="68" t="s">
        <v>201</v>
      </c>
      <c r="E15" s="68" t="s">
        <v>202</v>
      </c>
      <c r="F15" s="69" t="s">
        <v>203</v>
      </c>
    </row>
    <row r="16" spans="1:9" ht="20.25" customHeight="1">
      <c r="A16" s="70"/>
      <c r="B16" s="71"/>
      <c r="C16" s="72"/>
      <c r="D16" s="73"/>
      <c r="E16" s="74"/>
      <c r="F16" s="75"/>
    </row>
    <row r="17" spans="1:6" ht="20.25" customHeight="1">
      <c r="A17" s="70"/>
      <c r="B17" s="76"/>
      <c r="C17" s="72"/>
      <c r="D17" s="73"/>
      <c r="E17" s="74"/>
      <c r="F17" s="75"/>
    </row>
    <row r="18" spans="1:6" ht="20.25" customHeight="1">
      <c r="A18" s="70"/>
      <c r="B18" s="76"/>
      <c r="C18" s="72"/>
      <c r="D18" s="73"/>
      <c r="E18" s="74"/>
      <c r="F18" s="75"/>
    </row>
    <row r="19" spans="1:6" ht="20.25" customHeight="1">
      <c r="A19" s="70"/>
      <c r="B19" s="1"/>
      <c r="C19" s="12"/>
      <c r="D19" s="73"/>
      <c r="E19" s="77"/>
      <c r="F19" s="75"/>
    </row>
    <row r="20" spans="1:6" ht="20.25" customHeight="1">
      <c r="A20" s="78"/>
      <c r="B20" s="79"/>
      <c r="C20" s="79"/>
      <c r="D20" s="78"/>
      <c r="E20" s="80"/>
      <c r="F20" s="80"/>
    </row>
    <row r="21" spans="1:6" ht="20.25" customHeight="1">
      <c r="A21" s="78"/>
      <c r="B21" s="79"/>
      <c r="C21" s="79"/>
      <c r="D21" s="78"/>
      <c r="E21" s="80"/>
      <c r="F21" s="80"/>
    </row>
    <row r="22" spans="1:6" ht="20.25" customHeight="1">
      <c r="A22" s="79"/>
      <c r="B22" s="79"/>
      <c r="C22" s="79"/>
      <c r="D22" s="78"/>
      <c r="E22" s="80"/>
      <c r="F22" s="80"/>
    </row>
    <row r="23" spans="1:6" ht="20.25" customHeight="1">
      <c r="A23" s="79"/>
      <c r="B23" s="79"/>
      <c r="C23" s="79"/>
      <c r="D23" s="78"/>
      <c r="E23" s="80"/>
      <c r="F23" s="80"/>
    </row>
    <row r="24" spans="1:6" ht="20.25" customHeight="1">
      <c r="A24" s="79"/>
      <c r="B24" s="79"/>
      <c r="C24" s="79"/>
      <c r="D24" s="78"/>
      <c r="E24" s="80"/>
      <c r="F24" s="80"/>
    </row>
    <row r="25" spans="1:6" ht="20.25" customHeight="1">
      <c r="A25" s="79"/>
      <c r="B25" s="79"/>
      <c r="C25" s="79"/>
      <c r="D25" s="78"/>
      <c r="E25" s="80"/>
      <c r="F25" s="80"/>
    </row>
    <row r="26" spans="1:6" ht="20.25" customHeight="1">
      <c r="A26" s="79"/>
      <c r="B26" s="79"/>
      <c r="C26" s="79"/>
      <c r="D26" s="78"/>
      <c r="E26" s="80"/>
      <c r="F26" s="80"/>
    </row>
    <row r="27" spans="1:6" ht="20.25" customHeight="1">
      <c r="A27" s="79"/>
      <c r="B27" s="79"/>
      <c r="C27" s="79"/>
      <c r="D27" s="78"/>
      <c r="E27" s="80"/>
      <c r="F27" s="80"/>
    </row>
    <row r="28" spans="1:6" ht="20.25" customHeight="1">
      <c r="A28" s="79"/>
      <c r="B28" s="79"/>
      <c r="C28" s="79"/>
      <c r="D28" s="78"/>
      <c r="E28" s="80"/>
      <c r="F28" s="80"/>
    </row>
    <row r="29" spans="1:6" ht="20.25" customHeight="1">
      <c r="A29" s="79"/>
      <c r="B29" s="79"/>
      <c r="C29" s="79"/>
      <c r="D29" s="78"/>
      <c r="E29" s="80"/>
      <c r="F29" s="80"/>
    </row>
    <row r="30" spans="1:6">
      <c r="A30" s="120" t="s">
        <v>204</v>
      </c>
      <c r="B30" s="121"/>
      <c r="C30" s="53"/>
      <c r="D30" s="112" t="s">
        <v>205</v>
      </c>
      <c r="E30" s="112"/>
      <c r="F30" s="81">
        <f>SUM(F16:F29)</f>
        <v>0</v>
      </c>
    </row>
    <row r="31" spans="1:6">
      <c r="A31" s="82" t="s">
        <v>206</v>
      </c>
      <c r="B31" s="83"/>
      <c r="C31" s="53"/>
      <c r="D31" s="53" t="s">
        <v>207</v>
      </c>
      <c r="E31" s="84"/>
      <c r="F31" s="85">
        <v>0</v>
      </c>
    </row>
    <row r="32" spans="1:6">
      <c r="A32" s="86"/>
      <c r="B32" s="83"/>
      <c r="C32" s="53"/>
      <c r="D32" s="53" t="s">
        <v>208</v>
      </c>
      <c r="E32" s="84"/>
      <c r="F32" s="87">
        <v>0</v>
      </c>
    </row>
    <row r="33" spans="1:7" ht="17.25" thickBot="1">
      <c r="A33" s="86"/>
      <c r="B33" s="88"/>
      <c r="C33" s="53"/>
      <c r="D33" s="112" t="s">
        <v>203</v>
      </c>
      <c r="E33" s="112"/>
      <c r="F33" s="89">
        <f>F30+F31+F32</f>
        <v>0</v>
      </c>
    </row>
    <row r="34" spans="1:7" ht="17.25" thickTop="1">
      <c r="A34" s="82"/>
      <c r="B34" s="88"/>
      <c r="C34" s="53"/>
      <c r="D34" s="113" t="s">
        <v>209</v>
      </c>
      <c r="E34" s="113"/>
      <c r="F34" s="113"/>
    </row>
    <row r="35" spans="1:7">
      <c r="A35" s="82"/>
      <c r="B35" s="88"/>
      <c r="C35" s="53"/>
      <c r="D35" s="53"/>
      <c r="E35" s="53"/>
      <c r="F35" s="53"/>
    </row>
    <row r="36" spans="1:7" ht="14.45" customHeight="1">
      <c r="A36" s="86"/>
      <c r="B36" s="83"/>
      <c r="C36" s="90" t="s">
        <v>210</v>
      </c>
      <c r="D36" s="91"/>
      <c r="E36" s="91"/>
      <c r="F36" s="91"/>
      <c r="G36" s="58"/>
    </row>
    <row r="37" spans="1:7">
      <c r="A37" s="86"/>
      <c r="B37" s="83"/>
      <c r="C37" s="92"/>
      <c r="D37" s="114"/>
      <c r="E37" s="114"/>
      <c r="F37" s="114"/>
      <c r="G37" s="58"/>
    </row>
    <row r="38" spans="1:7">
      <c r="A38" s="93"/>
      <c r="B38" s="94"/>
      <c r="C38" s="92"/>
      <c r="D38" s="115"/>
      <c r="E38" s="115"/>
      <c r="F38" s="115"/>
      <c r="G38" s="58"/>
    </row>
    <row r="39" spans="1:7">
      <c r="C39" s="58"/>
      <c r="D39" s="95" t="s">
        <v>211</v>
      </c>
      <c r="E39" s="58"/>
      <c r="F39" s="58"/>
      <c r="G39" s="58"/>
    </row>
    <row r="40" spans="1:7">
      <c r="A40" s="109" t="s">
        <v>212</v>
      </c>
      <c r="B40" s="110"/>
      <c r="C40" s="110"/>
      <c r="D40" s="110"/>
      <c r="E40" s="110"/>
      <c r="F40" s="110"/>
      <c r="G40" s="111"/>
    </row>
    <row r="41" spans="1:7">
      <c r="A41" s="106" t="s">
        <v>213</v>
      </c>
      <c r="B41" s="107"/>
      <c r="C41" s="107"/>
      <c r="D41" s="107"/>
      <c r="E41" s="107"/>
      <c r="F41" s="107"/>
      <c r="G41" s="108"/>
    </row>
    <row r="42" spans="1:7" ht="18" customHeight="1">
      <c r="A42" s="109" t="s">
        <v>214</v>
      </c>
      <c r="B42" s="110"/>
      <c r="C42" s="110"/>
      <c r="D42" s="110"/>
      <c r="E42" s="110"/>
      <c r="F42" s="110"/>
      <c r="G42" s="111"/>
    </row>
    <row r="43" spans="1:7">
      <c r="A43" s="103" t="s">
        <v>215</v>
      </c>
      <c r="B43" s="104"/>
      <c r="C43" s="104"/>
      <c r="D43" s="104"/>
      <c r="E43" s="104"/>
      <c r="F43" s="104"/>
      <c r="G43" s="105"/>
    </row>
    <row r="44" spans="1:7">
      <c r="A44" s="103" t="s">
        <v>216</v>
      </c>
      <c r="B44" s="104"/>
      <c r="C44" s="104"/>
      <c r="D44" s="104"/>
      <c r="E44" s="104"/>
      <c r="F44" s="104"/>
      <c r="G44" s="105"/>
    </row>
    <row r="45" spans="1:7">
      <c r="A45" s="103" t="s">
        <v>217</v>
      </c>
      <c r="B45" s="104"/>
      <c r="C45" s="104"/>
      <c r="D45" s="104"/>
      <c r="E45" s="104"/>
      <c r="F45" s="104"/>
      <c r="G45" s="105"/>
    </row>
    <row r="46" spans="1:7">
      <c r="A46" s="103" t="s">
        <v>218</v>
      </c>
      <c r="B46" s="104"/>
      <c r="C46" s="104"/>
      <c r="D46" s="104"/>
      <c r="E46" s="104"/>
      <c r="F46" s="104"/>
      <c r="G46" s="105"/>
    </row>
    <row r="47" spans="1:7">
      <c r="A47" s="106" t="s">
        <v>219</v>
      </c>
      <c r="B47" s="107"/>
      <c r="C47" s="107"/>
      <c r="D47" s="107"/>
      <c r="E47" s="107"/>
      <c r="F47" s="107"/>
      <c r="G47" s="108"/>
    </row>
    <row r="48" spans="1:7">
      <c r="A48" s="103" t="s">
        <v>220</v>
      </c>
      <c r="B48" s="104"/>
      <c r="C48" s="104"/>
      <c r="D48" s="104"/>
      <c r="E48" s="104"/>
      <c r="F48" s="104"/>
      <c r="G48" s="105"/>
    </row>
    <row r="49" spans="1:7">
      <c r="A49" s="103" t="s">
        <v>221</v>
      </c>
      <c r="B49" s="104"/>
      <c r="C49" s="104"/>
      <c r="D49" s="104"/>
      <c r="E49" s="104"/>
      <c r="F49" s="104"/>
      <c r="G49" s="105"/>
    </row>
    <row r="50" spans="1:7">
      <c r="A50" s="103" t="s">
        <v>222</v>
      </c>
      <c r="B50" s="104"/>
      <c r="C50" s="104"/>
      <c r="D50" s="104"/>
      <c r="E50" s="104"/>
      <c r="F50" s="104"/>
      <c r="G50" s="105"/>
    </row>
    <row r="51" spans="1:7">
      <c r="A51" s="103" t="s">
        <v>223</v>
      </c>
      <c r="B51" s="104"/>
      <c r="C51" s="104"/>
      <c r="D51" s="104"/>
      <c r="E51" s="104"/>
      <c r="F51" s="104"/>
      <c r="G51" s="105"/>
    </row>
    <row r="52" spans="1:7">
      <c r="A52" s="103" t="s">
        <v>224</v>
      </c>
      <c r="B52" s="104"/>
      <c r="C52" s="104"/>
      <c r="D52" s="104"/>
      <c r="E52" s="104"/>
      <c r="F52" s="104"/>
      <c r="G52" s="105"/>
    </row>
    <row r="53" spans="1:7">
      <c r="A53" s="103" t="s">
        <v>225</v>
      </c>
      <c r="B53" s="104"/>
      <c r="C53" s="104"/>
      <c r="D53" s="104"/>
      <c r="E53" s="104"/>
      <c r="F53" s="104"/>
      <c r="G53" s="105"/>
    </row>
    <row r="54" spans="1:7">
      <c r="A54" s="103" t="s">
        <v>226</v>
      </c>
      <c r="B54" s="104"/>
      <c r="C54" s="104"/>
      <c r="D54" s="104"/>
      <c r="E54" s="104"/>
      <c r="F54" s="104"/>
      <c r="G54" s="105"/>
    </row>
    <row r="55" spans="1:7">
      <c r="A55" s="103" t="s">
        <v>227</v>
      </c>
      <c r="B55" s="104"/>
      <c r="C55" s="104"/>
      <c r="D55" s="104"/>
      <c r="E55" s="104"/>
      <c r="F55" s="104"/>
      <c r="G55" s="105"/>
    </row>
    <row r="56" spans="1:7">
      <c r="A56" s="103" t="s">
        <v>228</v>
      </c>
      <c r="B56" s="104"/>
      <c r="C56" s="104"/>
      <c r="D56" s="104"/>
      <c r="E56" s="104"/>
      <c r="F56" s="104"/>
      <c r="G56" s="105"/>
    </row>
    <row r="57" spans="1:7">
      <c r="A57" s="103" t="s">
        <v>229</v>
      </c>
      <c r="B57" s="104"/>
      <c r="C57" s="104"/>
      <c r="D57" s="104"/>
      <c r="E57" s="104"/>
      <c r="F57" s="104"/>
      <c r="G57" s="105"/>
    </row>
    <row r="58" spans="1:7">
      <c r="A58" s="103" t="s">
        <v>230</v>
      </c>
      <c r="B58" s="104"/>
      <c r="C58" s="104"/>
      <c r="D58" s="104"/>
      <c r="E58" s="104"/>
      <c r="F58" s="104"/>
      <c r="G58" s="105"/>
    </row>
  </sheetData>
  <mergeCells count="39">
    <mergeCell ref="A10:B10"/>
    <mergeCell ref="C10:F10"/>
    <mergeCell ref="A11:F11"/>
    <mergeCell ref="A12:F12"/>
    <mergeCell ref="A1:F1"/>
    <mergeCell ref="A3:B6"/>
    <mergeCell ref="E3:F3"/>
    <mergeCell ref="A8:F8"/>
    <mergeCell ref="A9:B9"/>
    <mergeCell ref="C9:F9"/>
    <mergeCell ref="A13:B13"/>
    <mergeCell ref="C13:F13"/>
    <mergeCell ref="A14:B14"/>
    <mergeCell ref="C14:F14"/>
    <mergeCell ref="A30:B30"/>
    <mergeCell ref="D30:E30"/>
    <mergeCell ref="D33:E33"/>
    <mergeCell ref="D34:F34"/>
    <mergeCell ref="D37:F37"/>
    <mergeCell ref="D38:F38"/>
    <mergeCell ref="A40:G40"/>
    <mergeCell ref="A41:G41"/>
    <mergeCell ref="A42:G42"/>
    <mergeCell ref="A43:G43"/>
    <mergeCell ref="A44:G44"/>
    <mergeCell ref="A45:G45"/>
    <mergeCell ref="A46:G46"/>
    <mergeCell ref="A47:G47"/>
    <mergeCell ref="A48:G48"/>
    <mergeCell ref="A49:G49"/>
    <mergeCell ref="A50:G50"/>
    <mergeCell ref="A56:G56"/>
    <mergeCell ref="A57:G57"/>
    <mergeCell ref="A58:G58"/>
    <mergeCell ref="A51:G51"/>
    <mergeCell ref="A52:G52"/>
    <mergeCell ref="A53:G53"/>
    <mergeCell ref="A54:G54"/>
    <mergeCell ref="A55:G55"/>
  </mergeCells>
  <phoneticPr fontId="3" type="noConversion"/>
  <hyperlinks>
    <hyperlink ref="I4" location="總表!A1" display="總表!A1" xr:uid="{6038AE64-743D-41F5-BC0F-A5956A121EE4}"/>
  </hyperlinks>
  <pageMargins left="7.874015748031496E-2" right="7.874015748031496E-2" top="0.39370078740157483" bottom="0.39370078740157483" header="0.31496062992125984" footer="0.31496062992125984"/>
  <pageSetup paperSize="9" scale="75" orientation="portrait" horizontalDpi="180" verticalDpi="18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H28"/>
  <sheetViews>
    <sheetView showGridLines="0" workbookViewId="0">
      <pane ySplit="5" topLeftCell="A6" activePane="bottomLeft" state="frozen"/>
      <selection pane="bottomLeft" activeCell="K7" sqref="K7"/>
    </sheetView>
  </sheetViews>
  <sheetFormatPr defaultRowHeight="15.75"/>
  <cols>
    <col min="1" max="1" width="19.5" customWidth="1"/>
    <col min="2" max="2" width="25.625" customWidth="1"/>
    <col min="3" max="3" width="7.625" style="2" customWidth="1"/>
    <col min="4" max="4" width="14.375" customWidth="1"/>
    <col min="5" max="5" width="13.75" style="2" customWidth="1"/>
    <col min="6" max="6" width="35.625" customWidth="1"/>
  </cols>
  <sheetData>
    <row r="1" spans="1:8" ht="21">
      <c r="A1" s="98" t="s">
        <v>36</v>
      </c>
      <c r="B1" s="98"/>
      <c r="C1" s="98"/>
      <c r="D1" s="98"/>
      <c r="E1" s="98"/>
      <c r="F1" s="98"/>
    </row>
    <row r="2" spans="1:8" s="16" customFormat="1" ht="42" customHeight="1">
      <c r="A2" s="99" t="s">
        <v>165</v>
      </c>
      <c r="B2" s="99"/>
      <c r="C2" s="99"/>
      <c r="D2" s="99"/>
      <c r="E2" s="99"/>
      <c r="F2" s="99"/>
    </row>
    <row r="3" spans="1:8" s="3" customFormat="1" ht="33.75" customHeight="1">
      <c r="A3" s="101" t="s">
        <v>48</v>
      </c>
      <c r="B3" s="101"/>
      <c r="C3" s="4"/>
      <c r="E3" s="4"/>
      <c r="F3" s="14" t="s">
        <v>47</v>
      </c>
      <c r="H3" s="52" t="s">
        <v>162</v>
      </c>
    </row>
    <row r="4" spans="1:8" s="3" customFormat="1" ht="45.75" customHeight="1">
      <c r="A4" s="97" t="s">
        <v>46</v>
      </c>
      <c r="B4" s="131"/>
      <c r="C4" s="97" t="s">
        <v>45</v>
      </c>
      <c r="D4" s="97"/>
      <c r="E4" s="97"/>
      <c r="F4" s="22" t="s">
        <v>31</v>
      </c>
    </row>
    <row r="5" spans="1:8" s="4" customFormat="1" ht="54.75" customHeight="1">
      <c r="A5" s="15" t="s">
        <v>44</v>
      </c>
      <c r="B5" s="15" t="s">
        <v>30</v>
      </c>
      <c r="C5" s="15" t="s">
        <v>29</v>
      </c>
      <c r="D5" s="15" t="s">
        <v>43</v>
      </c>
      <c r="E5" s="15" t="s">
        <v>42</v>
      </c>
      <c r="F5" s="15" t="s">
        <v>26</v>
      </c>
    </row>
    <row r="6" spans="1:8" s="3" customFormat="1" ht="20.100000000000001" customHeight="1">
      <c r="A6" s="27"/>
      <c r="B6" s="32" t="s">
        <v>41</v>
      </c>
      <c r="C6" s="10" t="s">
        <v>40</v>
      </c>
      <c r="D6" s="6">
        <v>300</v>
      </c>
      <c r="E6" s="10" t="s">
        <v>231</v>
      </c>
      <c r="F6" s="8"/>
    </row>
    <row r="7" spans="1:8" s="3" customFormat="1" ht="20.100000000000001" customHeight="1">
      <c r="A7" s="27"/>
      <c r="B7" s="32"/>
      <c r="C7" s="11"/>
      <c r="D7" s="27"/>
      <c r="E7" s="11"/>
      <c r="F7" s="8"/>
    </row>
    <row r="8" spans="1:8" s="3" customFormat="1" ht="20.100000000000001" customHeight="1">
      <c r="A8" s="27"/>
      <c r="B8" s="31"/>
      <c r="C8" s="11"/>
      <c r="D8" s="27"/>
      <c r="E8" s="11"/>
      <c r="F8" s="8"/>
    </row>
    <row r="9" spans="1:8" ht="20.100000000000001" customHeight="1">
      <c r="A9" s="26"/>
      <c r="B9" s="30"/>
      <c r="C9" s="12"/>
      <c r="D9" s="26"/>
      <c r="E9" s="12"/>
      <c r="F9" s="1"/>
    </row>
    <row r="10" spans="1:8" ht="20.100000000000001" customHeight="1">
      <c r="A10" s="26"/>
      <c r="B10" s="30"/>
      <c r="C10" s="12"/>
      <c r="D10" s="26"/>
      <c r="E10" s="12"/>
      <c r="F10" s="1"/>
    </row>
    <row r="11" spans="1:8" ht="20.100000000000001" customHeight="1">
      <c r="A11" s="26"/>
      <c r="B11" s="30"/>
      <c r="C11" s="12"/>
      <c r="D11" s="26"/>
      <c r="E11" s="12"/>
      <c r="F11" s="1"/>
    </row>
    <row r="12" spans="1:8" ht="20.100000000000001" customHeight="1">
      <c r="A12" s="26"/>
      <c r="B12" s="30"/>
      <c r="C12" s="12"/>
      <c r="D12" s="26"/>
      <c r="E12" s="12"/>
      <c r="F12" s="1"/>
    </row>
    <row r="13" spans="1:8" ht="20.100000000000001" customHeight="1">
      <c r="A13" s="26"/>
      <c r="B13" s="30"/>
      <c r="C13" s="12"/>
      <c r="D13" s="26"/>
      <c r="E13" s="12"/>
      <c r="F13" s="1"/>
    </row>
    <row r="14" spans="1:8" ht="20.100000000000001" customHeight="1">
      <c r="A14" s="26"/>
      <c r="B14" s="30"/>
      <c r="C14" s="12"/>
      <c r="D14" s="26"/>
      <c r="E14" s="12"/>
      <c r="F14" s="1"/>
    </row>
    <row r="15" spans="1:8" ht="20.100000000000001" customHeight="1">
      <c r="A15" s="26"/>
      <c r="B15" s="30"/>
      <c r="C15" s="12"/>
      <c r="D15" s="26"/>
      <c r="E15" s="12"/>
      <c r="F15" s="1"/>
    </row>
    <row r="16" spans="1:8" ht="20.100000000000001" customHeight="1">
      <c r="A16" s="26"/>
      <c r="B16" s="30"/>
      <c r="C16" s="12"/>
      <c r="D16" s="26"/>
      <c r="E16" s="12"/>
      <c r="F16" s="1"/>
    </row>
    <row r="17" spans="1:6" ht="20.100000000000001" customHeight="1">
      <c r="A17" s="26"/>
      <c r="B17" s="30"/>
      <c r="C17" s="12"/>
      <c r="D17" s="26"/>
      <c r="E17" s="12"/>
      <c r="F17" s="1"/>
    </row>
    <row r="18" spans="1:6" ht="20.100000000000001" customHeight="1">
      <c r="A18" s="26"/>
      <c r="B18" s="30"/>
      <c r="C18" s="12"/>
      <c r="D18" s="26"/>
      <c r="E18" s="12"/>
      <c r="F18" s="1"/>
    </row>
    <row r="19" spans="1:6" ht="20.100000000000001" customHeight="1">
      <c r="A19" s="26"/>
      <c r="B19" s="30"/>
      <c r="C19" s="12"/>
      <c r="D19" s="26"/>
      <c r="E19" s="12"/>
      <c r="F19" s="1"/>
    </row>
    <row r="20" spans="1:6" ht="20.100000000000001" customHeight="1">
      <c r="A20" s="26"/>
      <c r="B20" s="30"/>
      <c r="C20" s="12"/>
      <c r="D20" s="26"/>
      <c r="E20" s="12"/>
      <c r="F20" s="1"/>
    </row>
    <row r="21" spans="1:6" ht="20.100000000000001" customHeight="1">
      <c r="A21" s="26"/>
      <c r="B21" s="30"/>
      <c r="C21" s="12"/>
      <c r="D21" s="26"/>
      <c r="E21" s="12"/>
      <c r="F21" s="1"/>
    </row>
    <row r="22" spans="1:6" ht="20.100000000000001" customHeight="1"/>
    <row r="23" spans="1:6" ht="20.100000000000001" customHeight="1"/>
    <row r="24" spans="1:6" ht="20.100000000000001" customHeight="1"/>
    <row r="25" spans="1:6" ht="20.100000000000001" customHeight="1"/>
    <row r="26" spans="1:6" ht="20.100000000000001" customHeight="1"/>
    <row r="27" spans="1:6" ht="20.100000000000001" customHeight="1"/>
    <row r="28" spans="1:6" ht="20.100000000000001" customHeight="1"/>
  </sheetData>
  <mergeCells count="5">
    <mergeCell ref="A1:F1"/>
    <mergeCell ref="A3:B3"/>
    <mergeCell ref="C4:E4"/>
    <mergeCell ref="A4:B4"/>
    <mergeCell ref="A2:F2"/>
  </mergeCells>
  <phoneticPr fontId="3" type="noConversion"/>
  <hyperlinks>
    <hyperlink ref="H3" location="總表!A1" display="總表!A1" xr:uid="{A9EE8EEE-2185-40AB-8D40-F64A0B59E60A}"/>
  </hyperlinks>
  <pageMargins left="7.874015748031496E-2" right="7.874015748031496E-2" top="0.39370078740157483" bottom="0.39370078740157483" header="0.31496062992125984" footer="0.31496062992125984"/>
  <pageSetup paperSize="9" scale="86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G28"/>
  <sheetViews>
    <sheetView showGridLines="0" workbookViewId="0">
      <pane ySplit="9" topLeftCell="A10" activePane="bottomLeft" state="frozen"/>
      <selection pane="bottomLeft" activeCell="G5" sqref="G5"/>
    </sheetView>
  </sheetViews>
  <sheetFormatPr defaultRowHeight="15.75"/>
  <cols>
    <col min="1" max="1" width="35" customWidth="1"/>
    <col min="2" max="2" width="20.25" customWidth="1"/>
    <col min="3" max="3" width="19.25" customWidth="1"/>
    <col min="4" max="4" width="12.625" customWidth="1"/>
    <col min="5" max="5" width="42.625" customWidth="1"/>
  </cols>
  <sheetData>
    <row r="1" spans="1:7" ht="21">
      <c r="A1" s="98" t="s">
        <v>36</v>
      </c>
      <c r="B1" s="98"/>
      <c r="C1" s="98"/>
      <c r="D1" s="98"/>
      <c r="E1" s="98"/>
    </row>
    <row r="2" spans="1:7" s="3" customFormat="1">
      <c r="A2" s="134" t="s">
        <v>71</v>
      </c>
      <c r="B2" s="134"/>
      <c r="C2" s="134"/>
      <c r="D2" s="134"/>
      <c r="E2" s="134"/>
    </row>
    <row r="3" spans="1:7" s="3" customFormat="1">
      <c r="A3" s="134" t="s">
        <v>70</v>
      </c>
      <c r="B3" s="134"/>
      <c r="C3" s="134"/>
      <c r="D3" s="134"/>
      <c r="E3" s="134"/>
    </row>
    <row r="4" spans="1:7" s="3" customFormat="1">
      <c r="A4" s="4"/>
      <c r="B4" s="4"/>
      <c r="C4" s="4"/>
      <c r="D4" s="37" t="s">
        <v>69</v>
      </c>
      <c r="E4" s="37" t="s">
        <v>68</v>
      </c>
    </row>
    <row r="5" spans="1:7" s="3" customFormat="1" ht="36" customHeight="1">
      <c r="A5" s="132" t="s">
        <v>167</v>
      </c>
      <c r="B5" s="133"/>
      <c r="C5" s="133"/>
      <c r="D5" s="133"/>
      <c r="E5" s="133"/>
      <c r="G5" s="52" t="s">
        <v>162</v>
      </c>
    </row>
    <row r="6" spans="1:7" s="3" customFormat="1" ht="36" customHeight="1">
      <c r="A6" s="22" t="s">
        <v>67</v>
      </c>
      <c r="B6" s="22" t="s">
        <v>66</v>
      </c>
      <c r="C6" s="101" t="s">
        <v>65</v>
      </c>
      <c r="D6" s="101"/>
      <c r="E6" s="22" t="s">
        <v>64</v>
      </c>
    </row>
    <row r="7" spans="1:7" s="3" customFormat="1" ht="36" customHeight="1">
      <c r="A7" s="22" t="s">
        <v>63</v>
      </c>
      <c r="B7" s="101" t="s">
        <v>32</v>
      </c>
      <c r="C7" s="101"/>
      <c r="D7" s="35"/>
      <c r="E7" s="22" t="s">
        <v>62</v>
      </c>
    </row>
    <row r="8" spans="1:7" s="3" customFormat="1" ht="36" customHeight="1">
      <c r="A8" s="22" t="s">
        <v>61</v>
      </c>
      <c r="B8" s="22" t="s">
        <v>60</v>
      </c>
      <c r="C8" s="22"/>
      <c r="D8" s="35"/>
      <c r="E8" s="22" t="s">
        <v>59</v>
      </c>
    </row>
    <row r="9" spans="1:7" s="3" customFormat="1" ht="33.75" customHeight="1">
      <c r="A9" s="15" t="s">
        <v>58</v>
      </c>
      <c r="B9" s="15" t="s">
        <v>27</v>
      </c>
      <c r="C9" s="15" t="s">
        <v>57</v>
      </c>
      <c r="D9" s="15" t="s">
        <v>56</v>
      </c>
      <c r="E9" s="34" t="s">
        <v>26</v>
      </c>
    </row>
    <row r="10" spans="1:7" s="3" customFormat="1" ht="20.100000000000001" customHeight="1">
      <c r="A10" s="28" t="s">
        <v>55</v>
      </c>
      <c r="B10" s="6">
        <v>21000</v>
      </c>
      <c r="C10" s="8"/>
      <c r="D10" s="8"/>
      <c r="E10" s="8"/>
    </row>
    <row r="11" spans="1:7" s="3" customFormat="1" ht="20.100000000000001" customHeight="1">
      <c r="A11" s="28"/>
      <c r="B11" s="6"/>
      <c r="C11" s="8"/>
      <c r="D11" s="8"/>
      <c r="E11" s="8"/>
    </row>
    <row r="12" spans="1:7" s="3" customFormat="1" ht="20.100000000000001" customHeight="1">
      <c r="A12" s="28"/>
      <c r="B12" s="6"/>
      <c r="C12" s="8"/>
      <c r="D12" s="8"/>
      <c r="E12" s="8"/>
    </row>
    <row r="13" spans="1:7" s="3" customFormat="1" ht="20.100000000000001" customHeight="1">
      <c r="A13" s="28"/>
      <c r="B13" s="6"/>
      <c r="C13" s="8"/>
      <c r="D13" s="8"/>
      <c r="E13" s="8"/>
    </row>
    <row r="14" spans="1:7" s="3" customFormat="1" ht="20.100000000000001" customHeight="1">
      <c r="A14" s="28"/>
      <c r="B14" s="6"/>
      <c r="C14" s="8"/>
      <c r="D14" s="8"/>
      <c r="E14" s="8"/>
    </row>
    <row r="15" spans="1:7" s="3" customFormat="1" ht="20.100000000000001" customHeight="1">
      <c r="A15" s="28"/>
      <c r="B15" s="6"/>
      <c r="C15" s="8"/>
      <c r="D15" s="8"/>
      <c r="E15" s="8"/>
    </row>
    <row r="16" spans="1:7" s="3" customFormat="1" ht="20.100000000000001" customHeight="1">
      <c r="A16" s="8"/>
      <c r="B16" s="28" t="s">
        <v>54</v>
      </c>
      <c r="C16" s="8"/>
      <c r="D16" s="8"/>
      <c r="E16" s="8"/>
    </row>
    <row r="17" spans="1:5" s="3" customFormat="1" ht="20.100000000000001" customHeight="1">
      <c r="A17" s="28" t="s">
        <v>53</v>
      </c>
      <c r="B17" s="6">
        <v>21000</v>
      </c>
      <c r="C17" s="8"/>
      <c r="D17" s="8"/>
      <c r="E17" s="8"/>
    </row>
    <row r="18" spans="1:5" s="29" customFormat="1" ht="31.5">
      <c r="A18" s="33" t="s">
        <v>52</v>
      </c>
      <c r="B18" s="14" t="s">
        <v>51</v>
      </c>
      <c r="C18" s="14" t="s">
        <v>50</v>
      </c>
      <c r="D18" s="14" t="s">
        <v>31</v>
      </c>
    </row>
    <row r="19" spans="1:5" s="16" customFormat="1" ht="18.75"/>
    <row r="20" spans="1:5" s="16" customFormat="1" ht="18.75"/>
    <row r="21" spans="1:5" s="16" customFormat="1" ht="18.75"/>
    <row r="22" spans="1:5" s="16" customFormat="1" ht="18.75"/>
    <row r="23" spans="1:5" s="16" customFormat="1" ht="18.75"/>
    <row r="24" spans="1:5" s="16" customFormat="1" ht="18.75"/>
    <row r="25" spans="1:5" s="16" customFormat="1" ht="18.75"/>
    <row r="26" spans="1:5" s="16" customFormat="1" ht="18.75"/>
    <row r="27" spans="1:5" s="16" customFormat="1" ht="18.75"/>
    <row r="28" spans="1:5" s="16" customFormat="1" ht="18.75"/>
  </sheetData>
  <mergeCells count="6">
    <mergeCell ref="A1:E1"/>
    <mergeCell ref="A5:E5"/>
    <mergeCell ref="B7:C7"/>
    <mergeCell ref="A2:E2"/>
    <mergeCell ref="A3:E3"/>
    <mergeCell ref="C6:D6"/>
  </mergeCells>
  <phoneticPr fontId="3" type="noConversion"/>
  <hyperlinks>
    <hyperlink ref="G5" location="總表!A1" display="總表!A1" xr:uid="{607E96E9-68ED-43C9-87F2-A7479932373F}"/>
  </hyperlinks>
  <pageMargins left="0.7" right="0.7" top="0.75" bottom="0.75" header="0.3" footer="0.3"/>
  <pageSetup paperSize="9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I12"/>
  <sheetViews>
    <sheetView showGridLines="0" workbookViewId="0">
      <pane ySplit="6" topLeftCell="A7" activePane="bottomLeft" state="frozen"/>
      <selection pane="bottomLeft" activeCell="B8" sqref="B8"/>
    </sheetView>
  </sheetViews>
  <sheetFormatPr defaultRowHeight="15.75"/>
  <cols>
    <col min="1" max="1" width="3.875" customWidth="1"/>
    <col min="2" max="2" width="23.625" customWidth="1"/>
    <col min="3" max="3" width="25.875" customWidth="1"/>
    <col min="4" max="4" width="6.25" customWidth="1"/>
    <col min="5" max="5" width="20" customWidth="1"/>
    <col min="6" max="6" width="7.125" customWidth="1"/>
  </cols>
  <sheetData>
    <row r="1" spans="1:9" ht="18.75">
      <c r="A1" s="100" t="s">
        <v>36</v>
      </c>
      <c r="B1" s="100"/>
      <c r="C1" s="100"/>
      <c r="D1" s="100"/>
      <c r="E1" s="100"/>
      <c r="F1" s="100"/>
    </row>
    <row r="2" spans="1:9" s="40" customFormat="1" ht="37.5" customHeight="1">
      <c r="A2" s="136" t="s">
        <v>169</v>
      </c>
      <c r="B2" s="137"/>
      <c r="C2" s="137"/>
      <c r="D2" s="137"/>
      <c r="E2" s="137"/>
      <c r="F2" s="137"/>
    </row>
    <row r="3" spans="1:9" s="3" customFormat="1" ht="41.25" customHeight="1">
      <c r="A3" s="101" t="s">
        <v>232</v>
      </c>
      <c r="B3" s="101"/>
      <c r="C3" s="22" t="s">
        <v>233</v>
      </c>
      <c r="D3" s="35"/>
      <c r="E3" s="101" t="s">
        <v>236</v>
      </c>
      <c r="F3" s="101"/>
      <c r="I3" s="52" t="s">
        <v>162</v>
      </c>
    </row>
    <row r="4" spans="1:9" s="3" customFormat="1" ht="46.5" customHeight="1">
      <c r="A4" s="101" t="s">
        <v>234</v>
      </c>
      <c r="B4" s="101"/>
      <c r="C4" s="22" t="s">
        <v>235</v>
      </c>
      <c r="D4" s="35"/>
      <c r="E4" s="101" t="s">
        <v>79</v>
      </c>
      <c r="F4" s="101"/>
    </row>
    <row r="5" spans="1:9" s="3" customFormat="1" ht="46.5" customHeight="1">
      <c r="A5" s="101" t="s">
        <v>237</v>
      </c>
      <c r="B5" s="101"/>
      <c r="C5" s="101"/>
      <c r="D5" s="35"/>
      <c r="E5" s="97" t="s">
        <v>78</v>
      </c>
      <c r="F5" s="97"/>
    </row>
    <row r="6" spans="1:9" s="23" customFormat="1" ht="33.75" customHeight="1">
      <c r="A6" s="39" t="s">
        <v>77</v>
      </c>
      <c r="B6" s="38" t="s">
        <v>76</v>
      </c>
      <c r="C6" s="38" t="s">
        <v>75</v>
      </c>
      <c r="D6" s="38" t="s">
        <v>29</v>
      </c>
      <c r="E6" s="38" t="s">
        <v>74</v>
      </c>
      <c r="F6" s="38" t="s">
        <v>29</v>
      </c>
    </row>
    <row r="7" spans="1:9" s="3" customFormat="1" ht="24.95" customHeight="1">
      <c r="A7" s="11">
        <v>1</v>
      </c>
      <c r="B7" s="28" t="s">
        <v>238</v>
      </c>
      <c r="C7" s="6">
        <v>100000</v>
      </c>
      <c r="D7" s="10" t="s">
        <v>40</v>
      </c>
      <c r="E7" s="6"/>
      <c r="F7" s="10" t="s">
        <v>40</v>
      </c>
    </row>
    <row r="8" spans="1:9" s="3" customFormat="1" ht="24.95" customHeight="1">
      <c r="A8" s="11">
        <v>2</v>
      </c>
      <c r="B8" s="28"/>
      <c r="C8" s="6"/>
      <c r="D8" s="10"/>
      <c r="E8" s="6"/>
      <c r="F8" s="10"/>
    </row>
    <row r="9" spans="1:9" s="3" customFormat="1" ht="24.95" customHeight="1">
      <c r="A9" s="11"/>
      <c r="B9" s="28"/>
      <c r="C9" s="6"/>
      <c r="D9" s="10"/>
      <c r="E9" s="6"/>
      <c r="F9" s="10"/>
    </row>
    <row r="10" spans="1:9" s="3" customFormat="1" ht="24.95" customHeight="1">
      <c r="A10" s="11"/>
      <c r="B10" s="28"/>
      <c r="C10" s="28"/>
      <c r="D10" s="11"/>
      <c r="E10" s="6"/>
      <c r="F10" s="10"/>
    </row>
    <row r="11" spans="1:9" s="3" customFormat="1" ht="24.95" customHeight="1">
      <c r="A11" s="11"/>
      <c r="B11" s="28"/>
      <c r="C11" s="28"/>
      <c r="D11" s="11"/>
      <c r="E11" s="6"/>
      <c r="F11" s="10"/>
    </row>
    <row r="12" spans="1:9" s="3" customFormat="1" ht="24.95" customHeight="1">
      <c r="A12" s="135" t="s">
        <v>73</v>
      </c>
      <c r="B12" s="135"/>
      <c r="C12" s="135"/>
      <c r="D12" s="135"/>
      <c r="E12" s="135"/>
      <c r="F12" s="135"/>
    </row>
  </sheetData>
  <mergeCells count="9">
    <mergeCell ref="A5:C5"/>
    <mergeCell ref="A12:F12"/>
    <mergeCell ref="A1:F1"/>
    <mergeCell ref="A2:F2"/>
    <mergeCell ref="A3:B3"/>
    <mergeCell ref="A4:B4"/>
    <mergeCell ref="E4:F4"/>
    <mergeCell ref="E5:F5"/>
    <mergeCell ref="E3:F3"/>
  </mergeCells>
  <phoneticPr fontId="3" type="noConversion"/>
  <hyperlinks>
    <hyperlink ref="I3" location="總表!A1" display="總表!A1" xr:uid="{9CD71DE6-AC07-4A74-8DEA-DF887A134422}"/>
  </hyperlinks>
  <pageMargins left="0.7" right="0.7" top="0.75" bottom="0.75" header="0.3" footer="0.3"/>
  <pageSetup paperSize="9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G18"/>
  <sheetViews>
    <sheetView showGridLines="0" workbookViewId="0">
      <pane ySplit="6" topLeftCell="A7" activePane="bottomLeft" state="frozen"/>
      <selection pane="bottomLeft" activeCell="G3" sqref="G3"/>
    </sheetView>
  </sheetViews>
  <sheetFormatPr defaultRowHeight="15.75"/>
  <cols>
    <col min="1" max="1" width="29.625" customWidth="1"/>
    <col min="2" max="2" width="21.5" customWidth="1"/>
    <col min="3" max="3" width="7.375" customWidth="1"/>
    <col min="4" max="4" width="7.125" customWidth="1"/>
    <col min="5" max="5" width="34.75" customWidth="1"/>
  </cols>
  <sheetData>
    <row r="1" spans="1:7" ht="21">
      <c r="A1" s="98" t="s">
        <v>97</v>
      </c>
      <c r="B1" s="98"/>
      <c r="C1" s="98"/>
      <c r="D1" s="98"/>
      <c r="E1" s="98"/>
    </row>
    <row r="2" spans="1:7" ht="39" customHeight="1">
      <c r="A2" s="99" t="s">
        <v>171</v>
      </c>
      <c r="B2" s="100"/>
      <c r="C2" s="100"/>
      <c r="D2" s="100"/>
      <c r="E2" s="100"/>
    </row>
    <row r="3" spans="1:7" s="3" customFormat="1" ht="39" customHeight="1">
      <c r="A3" s="101" t="s">
        <v>96</v>
      </c>
      <c r="B3" s="101"/>
      <c r="C3" s="35"/>
      <c r="D3" s="35"/>
      <c r="E3" s="22" t="s">
        <v>95</v>
      </c>
      <c r="G3" s="52" t="s">
        <v>162</v>
      </c>
    </row>
    <row r="4" spans="1:7" s="3" customFormat="1" ht="39" customHeight="1">
      <c r="A4" s="22" t="s">
        <v>94</v>
      </c>
      <c r="B4" s="22"/>
      <c r="C4" s="35"/>
      <c r="D4" s="35"/>
      <c r="E4" s="22" t="s">
        <v>93</v>
      </c>
    </row>
    <row r="5" spans="1:7" s="3" customFormat="1" ht="39" customHeight="1">
      <c r="A5" s="22" t="s">
        <v>92</v>
      </c>
      <c r="B5" s="101" t="s">
        <v>91</v>
      </c>
      <c r="C5" s="101"/>
      <c r="D5" s="101"/>
      <c r="E5" s="22" t="s">
        <v>90</v>
      </c>
    </row>
    <row r="6" spans="1:7" s="3" customFormat="1" ht="31.5">
      <c r="A6" s="34" t="s">
        <v>89</v>
      </c>
      <c r="B6" s="15" t="s">
        <v>88</v>
      </c>
      <c r="C6" s="34" t="s">
        <v>87</v>
      </c>
      <c r="D6" s="15" t="s">
        <v>86</v>
      </c>
      <c r="E6" s="34" t="s">
        <v>85</v>
      </c>
    </row>
    <row r="7" spans="1:7" s="3" customFormat="1" ht="20.100000000000001" customHeight="1">
      <c r="A7" s="28" t="s">
        <v>84</v>
      </c>
      <c r="B7" s="6">
        <v>1</v>
      </c>
      <c r="C7" s="28" t="s">
        <v>25</v>
      </c>
      <c r="D7" s="11" t="s">
        <v>83</v>
      </c>
      <c r="E7" s="8" t="s">
        <v>82</v>
      </c>
    </row>
    <row r="8" spans="1:7" s="3" customFormat="1" ht="20.100000000000001" customHeight="1">
      <c r="A8" s="8"/>
      <c r="B8" s="8"/>
      <c r="C8" s="8"/>
      <c r="D8" s="11"/>
      <c r="E8" s="8"/>
    </row>
    <row r="9" spans="1:7" ht="20.100000000000001" customHeight="1">
      <c r="A9" s="1"/>
      <c r="B9" s="1"/>
      <c r="C9" s="1"/>
      <c r="D9" s="12"/>
      <c r="E9" s="1"/>
    </row>
    <row r="10" spans="1:7" ht="20.100000000000001" customHeight="1">
      <c r="A10" s="1"/>
      <c r="B10" s="1"/>
      <c r="C10" s="1"/>
      <c r="D10" s="12"/>
      <c r="E10" s="1"/>
    </row>
    <row r="11" spans="1:7" ht="20.100000000000001" customHeight="1">
      <c r="A11" s="1"/>
      <c r="B11" s="1"/>
      <c r="C11" s="1"/>
      <c r="D11" s="12"/>
      <c r="E11" s="1"/>
    </row>
    <row r="12" spans="1:7" ht="20.100000000000001" customHeight="1">
      <c r="A12" s="1"/>
      <c r="B12" s="1"/>
      <c r="C12" s="1"/>
      <c r="D12" s="12"/>
      <c r="E12" s="1"/>
    </row>
    <row r="13" spans="1:7" ht="20.100000000000001" customHeight="1">
      <c r="A13" s="1"/>
      <c r="B13" s="1"/>
      <c r="C13" s="1"/>
      <c r="D13" s="12"/>
      <c r="E13" s="1"/>
    </row>
    <row r="14" spans="1:7" ht="20.100000000000001" customHeight="1">
      <c r="A14" s="1"/>
      <c r="B14" s="1"/>
      <c r="C14" s="1"/>
      <c r="D14" s="12"/>
      <c r="E14" s="1"/>
    </row>
    <row r="15" spans="1:7" ht="20.100000000000001" customHeight="1">
      <c r="A15" s="1"/>
      <c r="B15" s="1"/>
      <c r="C15" s="1"/>
      <c r="D15" s="12"/>
      <c r="E15" s="1"/>
    </row>
    <row r="16" spans="1:7" ht="20.100000000000001" customHeight="1">
      <c r="A16" s="1"/>
      <c r="B16" s="1"/>
      <c r="C16" s="1"/>
      <c r="D16" s="12"/>
      <c r="E16" s="1"/>
    </row>
    <row r="17" spans="1:5" ht="20.100000000000001" customHeight="1">
      <c r="A17" s="1"/>
      <c r="B17" s="1"/>
      <c r="C17" s="1"/>
      <c r="D17" s="12"/>
      <c r="E17" s="1"/>
    </row>
    <row r="18" spans="1:5" ht="20.100000000000001" customHeight="1">
      <c r="A18" s="1"/>
      <c r="B18" s="1"/>
      <c r="C18" s="1"/>
      <c r="D18" s="12"/>
      <c r="E18" s="1"/>
    </row>
  </sheetData>
  <mergeCells count="4">
    <mergeCell ref="A1:E1"/>
    <mergeCell ref="A2:E2"/>
    <mergeCell ref="A3:B3"/>
    <mergeCell ref="B5:D5"/>
  </mergeCells>
  <phoneticPr fontId="3" type="noConversion"/>
  <hyperlinks>
    <hyperlink ref="G3" location="總表!A1" display="總表!A1" xr:uid="{72D5E33C-682B-4534-951F-8EFC3FAF1903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G21"/>
  <sheetViews>
    <sheetView showGridLines="0" workbookViewId="0">
      <pane ySplit="8" topLeftCell="A9" activePane="bottomLeft" state="frozen"/>
      <selection pane="bottomLeft" activeCell="G4" sqref="G4"/>
    </sheetView>
  </sheetViews>
  <sheetFormatPr defaultRowHeight="15.75"/>
  <cols>
    <col min="1" max="1" width="18.75" customWidth="1"/>
    <col min="2" max="2" width="20.375" customWidth="1"/>
    <col min="3" max="3" width="8.375" customWidth="1"/>
    <col min="4" max="4" width="17.125" customWidth="1"/>
    <col min="5" max="5" width="42.625" customWidth="1"/>
  </cols>
  <sheetData>
    <row r="1" spans="1:7" ht="21">
      <c r="A1" s="98" t="s">
        <v>4</v>
      </c>
      <c r="B1" s="98"/>
      <c r="C1" s="98"/>
      <c r="D1" s="98"/>
      <c r="E1" s="98"/>
    </row>
    <row r="2" spans="1:7">
      <c r="A2" s="48"/>
      <c r="C2" s="138" t="s">
        <v>35</v>
      </c>
      <c r="D2" s="138"/>
      <c r="E2" t="s">
        <v>34</v>
      </c>
    </row>
    <row r="3" spans="1:7" s="47" customFormat="1" ht="36" customHeight="1">
      <c r="A3" s="99" t="s">
        <v>173</v>
      </c>
      <c r="B3" s="100"/>
      <c r="C3" s="100"/>
      <c r="D3" s="100"/>
      <c r="E3" s="100"/>
    </row>
    <row r="4" spans="1:7" s="3" customFormat="1" ht="36" customHeight="1">
      <c r="A4" s="101" t="s">
        <v>111</v>
      </c>
      <c r="B4" s="101"/>
      <c r="C4" s="36"/>
      <c r="D4" s="36"/>
      <c r="E4" s="25" t="s">
        <v>110</v>
      </c>
      <c r="G4" s="52" t="s">
        <v>162</v>
      </c>
    </row>
    <row r="5" spans="1:7" s="3" customFormat="1" ht="36" customHeight="1">
      <c r="A5" s="25" t="s">
        <v>33</v>
      </c>
      <c r="B5" s="25"/>
      <c r="C5" s="36"/>
      <c r="D5" s="36"/>
      <c r="E5" s="25" t="s">
        <v>109</v>
      </c>
    </row>
    <row r="6" spans="1:7" s="3" customFormat="1" ht="36" customHeight="1">
      <c r="A6" s="101" t="s">
        <v>108</v>
      </c>
      <c r="B6" s="101"/>
      <c r="C6" s="101"/>
      <c r="D6" s="101"/>
      <c r="E6" s="25" t="s">
        <v>107</v>
      </c>
    </row>
    <row r="7" spans="1:7" s="3" customFormat="1" ht="36" customHeight="1">
      <c r="A7" s="97" t="s">
        <v>106</v>
      </c>
      <c r="B7" s="97"/>
      <c r="C7" s="97" t="s">
        <v>105</v>
      </c>
      <c r="D7" s="97"/>
      <c r="E7" s="25" t="s">
        <v>7</v>
      </c>
    </row>
    <row r="8" spans="1:7" s="4" customFormat="1" ht="35.25" customHeight="1">
      <c r="A8" s="15" t="s">
        <v>8</v>
      </c>
      <c r="B8" s="15" t="s">
        <v>28</v>
      </c>
      <c r="C8" s="15" t="s">
        <v>17</v>
      </c>
      <c r="D8" s="15" t="s">
        <v>104</v>
      </c>
      <c r="E8" s="15" t="s">
        <v>26</v>
      </c>
    </row>
    <row r="9" spans="1:7" s="3" customFormat="1" ht="20.100000000000001" customHeight="1">
      <c r="A9" s="5" t="s">
        <v>103</v>
      </c>
      <c r="B9" s="6">
        <v>30000</v>
      </c>
      <c r="C9" s="46" t="s">
        <v>102</v>
      </c>
      <c r="D9" s="5" t="s">
        <v>101</v>
      </c>
      <c r="E9" s="31" t="s">
        <v>100</v>
      </c>
    </row>
    <row r="10" spans="1:7" s="3" customFormat="1" ht="20.100000000000001" customHeight="1">
      <c r="A10" s="27"/>
      <c r="B10" s="27"/>
      <c r="C10" s="45"/>
      <c r="D10" s="5"/>
      <c r="E10" s="31"/>
    </row>
    <row r="11" spans="1:7" s="3" customFormat="1" ht="20.100000000000001" customHeight="1">
      <c r="A11" s="27"/>
      <c r="B11" s="27"/>
      <c r="C11" s="45"/>
      <c r="D11" s="27"/>
      <c r="E11" s="31"/>
    </row>
    <row r="12" spans="1:7" ht="20.100000000000001" customHeight="1">
      <c r="A12" s="26"/>
      <c r="B12" s="26"/>
      <c r="C12" s="44"/>
      <c r="D12" s="26"/>
      <c r="E12" s="30"/>
    </row>
    <row r="13" spans="1:7" ht="20.100000000000001" customHeight="1">
      <c r="A13" s="26"/>
      <c r="B13" s="26"/>
      <c r="C13" s="44"/>
      <c r="D13" s="26"/>
      <c r="E13" s="30"/>
    </row>
    <row r="14" spans="1:7" ht="20.100000000000001" customHeight="1">
      <c r="A14" s="26"/>
      <c r="B14" s="26"/>
      <c r="C14" s="44"/>
      <c r="D14" s="26"/>
      <c r="E14" s="30"/>
    </row>
    <row r="15" spans="1:7" ht="20.100000000000001" customHeight="1">
      <c r="A15" s="26"/>
      <c r="B15" s="26"/>
      <c r="C15" s="44"/>
      <c r="D15" s="26"/>
      <c r="E15" s="30"/>
    </row>
    <row r="16" spans="1:7" ht="20.100000000000001" customHeight="1">
      <c r="A16" s="26"/>
      <c r="B16" s="26"/>
      <c r="C16" s="44"/>
      <c r="D16" s="26"/>
      <c r="E16" s="30"/>
    </row>
    <row r="17" spans="1:5" ht="20.100000000000001" customHeight="1">
      <c r="A17" s="26"/>
      <c r="B17" s="26"/>
      <c r="C17" s="44"/>
      <c r="D17" s="26"/>
      <c r="E17" s="30"/>
    </row>
    <row r="18" spans="1:5" ht="20.100000000000001" customHeight="1">
      <c r="A18" s="26"/>
      <c r="B18" s="26"/>
      <c r="C18" s="44"/>
      <c r="D18" s="26"/>
      <c r="E18" s="30"/>
    </row>
    <row r="19" spans="1:5" ht="20.100000000000001" customHeight="1">
      <c r="A19" s="26"/>
      <c r="B19" s="26"/>
      <c r="C19" s="44"/>
      <c r="D19" s="26"/>
      <c r="E19" s="30"/>
    </row>
    <row r="20" spans="1:5" ht="20.100000000000001" customHeight="1">
      <c r="A20" s="26"/>
      <c r="B20" s="26"/>
      <c r="C20" s="44"/>
      <c r="D20" s="26"/>
      <c r="E20" s="30"/>
    </row>
    <row r="21" spans="1:5" ht="31.5">
      <c r="C21" s="14" t="s">
        <v>24</v>
      </c>
    </row>
  </sheetData>
  <mergeCells count="7">
    <mergeCell ref="A1:E1"/>
    <mergeCell ref="A3:E3"/>
    <mergeCell ref="A4:B4"/>
    <mergeCell ref="A6:D6"/>
    <mergeCell ref="A7:B7"/>
    <mergeCell ref="C2:D2"/>
    <mergeCell ref="C7:D7"/>
  </mergeCells>
  <phoneticPr fontId="3" type="noConversion"/>
  <hyperlinks>
    <hyperlink ref="G4" location="總表!A1" display="總表!A1" xr:uid="{F7D9DC9D-D44C-4AB2-93E5-43DCCE1F6D33}"/>
  </hyperlinks>
  <pageMargins left="7.874015748031496E-2" right="7.874015748031496E-2" top="0.39370078740157483" bottom="0.39370078740157483" header="0.31496062992125984" footer="0.31496062992125984"/>
  <pageSetup paperSize="9" scale="94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H20"/>
  <sheetViews>
    <sheetView showGridLines="0" workbookViewId="0">
      <pane ySplit="5" topLeftCell="A6" activePane="bottomLeft" state="frozen"/>
      <selection pane="bottomLeft" activeCell="H3" sqref="H3"/>
    </sheetView>
  </sheetViews>
  <sheetFormatPr defaultRowHeight="15.75"/>
  <cols>
    <col min="1" max="1" width="14.625" customWidth="1"/>
    <col min="2" max="2" width="25.625" customWidth="1"/>
    <col min="3" max="3" width="7.625" customWidth="1"/>
    <col min="4" max="4" width="11.5" customWidth="1"/>
    <col min="5" max="5" width="16.75" customWidth="1"/>
    <col min="6" max="6" width="46.625" customWidth="1"/>
  </cols>
  <sheetData>
    <row r="1" spans="1:8" ht="21">
      <c r="A1" s="98" t="s">
        <v>128</v>
      </c>
      <c r="B1" s="98"/>
      <c r="C1" s="98"/>
      <c r="D1" s="98"/>
      <c r="E1" s="98"/>
      <c r="F1" s="98"/>
    </row>
    <row r="2" spans="1:8" ht="41.25" customHeight="1">
      <c r="A2" s="99" t="s">
        <v>175</v>
      </c>
      <c r="B2" s="100"/>
      <c r="C2" s="100"/>
      <c r="D2" s="100"/>
      <c r="E2" s="100"/>
      <c r="F2" s="100"/>
    </row>
    <row r="3" spans="1:8" s="3" customFormat="1" ht="41.25" customHeight="1">
      <c r="A3" s="101" t="s">
        <v>127</v>
      </c>
      <c r="B3" s="101"/>
      <c r="C3" s="36"/>
      <c r="D3" s="36"/>
      <c r="E3" s="36"/>
      <c r="F3" s="25" t="s">
        <v>126</v>
      </c>
      <c r="H3" s="52" t="s">
        <v>162</v>
      </c>
    </row>
    <row r="4" spans="1:8" s="3" customFormat="1" ht="41.25" customHeight="1">
      <c r="A4" s="101" t="s">
        <v>125</v>
      </c>
      <c r="B4" s="101"/>
      <c r="C4" s="97" t="s">
        <v>124</v>
      </c>
      <c r="D4" s="97"/>
      <c r="E4" s="97"/>
      <c r="F4" s="25" t="s">
        <v>123</v>
      </c>
    </row>
    <row r="5" spans="1:8" s="4" customFormat="1" ht="48" customHeight="1">
      <c r="A5" s="15" t="s">
        <v>122</v>
      </c>
      <c r="B5" s="15" t="s">
        <v>121</v>
      </c>
      <c r="C5" s="15" t="s">
        <v>120</v>
      </c>
      <c r="D5" s="15" t="s">
        <v>119</v>
      </c>
      <c r="E5" s="15" t="s">
        <v>118</v>
      </c>
      <c r="F5" s="15" t="s">
        <v>117</v>
      </c>
    </row>
    <row r="6" spans="1:8" s="3" customFormat="1" ht="20.100000000000001" customHeight="1">
      <c r="A6" s="10" t="s">
        <v>116</v>
      </c>
      <c r="B6" s="32" t="s">
        <v>115</v>
      </c>
      <c r="C6" s="10" t="s">
        <v>40</v>
      </c>
      <c r="D6" s="50">
        <v>10000</v>
      </c>
      <c r="E6" s="10" t="s">
        <v>114</v>
      </c>
      <c r="F6" s="8"/>
    </row>
    <row r="7" spans="1:8" s="3" customFormat="1" ht="20.100000000000001" customHeight="1">
      <c r="A7" s="10"/>
      <c r="B7" s="31"/>
      <c r="C7" s="11"/>
      <c r="D7" s="50"/>
      <c r="E7" s="11"/>
      <c r="F7" s="8"/>
    </row>
    <row r="8" spans="1:8" s="3" customFormat="1" ht="20.100000000000001" customHeight="1">
      <c r="A8" s="11"/>
      <c r="B8" s="31"/>
      <c r="C8" s="11"/>
      <c r="D8" s="50"/>
      <c r="E8" s="11"/>
      <c r="F8" s="8"/>
    </row>
    <row r="9" spans="1:8" ht="20.100000000000001" customHeight="1">
      <c r="A9" s="12"/>
      <c r="B9" s="30"/>
      <c r="C9" s="12"/>
      <c r="D9" s="49"/>
      <c r="E9" s="12"/>
      <c r="F9" s="1"/>
    </row>
    <row r="10" spans="1:8" ht="20.100000000000001" customHeight="1">
      <c r="A10" s="12"/>
      <c r="B10" s="30"/>
      <c r="C10" s="12"/>
      <c r="D10" s="49"/>
      <c r="E10" s="12"/>
      <c r="F10" s="1"/>
    </row>
    <row r="11" spans="1:8" ht="20.100000000000001" customHeight="1">
      <c r="A11" s="12"/>
      <c r="B11" s="30"/>
      <c r="C11" s="12"/>
      <c r="D11" s="49"/>
      <c r="E11" s="12"/>
      <c r="F11" s="1"/>
    </row>
    <row r="12" spans="1:8" ht="20.100000000000001" customHeight="1">
      <c r="A12" s="12"/>
      <c r="B12" s="30"/>
      <c r="C12" s="12"/>
      <c r="D12" s="49"/>
      <c r="E12" s="12"/>
      <c r="F12" s="1"/>
    </row>
    <row r="13" spans="1:8" ht="20.100000000000001" customHeight="1">
      <c r="A13" s="12"/>
      <c r="B13" s="30"/>
      <c r="C13" s="12"/>
      <c r="D13" s="49"/>
      <c r="E13" s="12"/>
      <c r="F13" s="1"/>
    </row>
    <row r="14" spans="1:8" ht="20.100000000000001" customHeight="1">
      <c r="A14" s="12"/>
      <c r="B14" s="30"/>
      <c r="C14" s="12"/>
      <c r="D14" s="49"/>
      <c r="E14" s="12"/>
      <c r="F14" s="1"/>
    </row>
    <row r="15" spans="1:8" ht="20.100000000000001" customHeight="1">
      <c r="A15" s="12"/>
      <c r="B15" s="30"/>
      <c r="C15" s="12"/>
      <c r="D15" s="49"/>
      <c r="E15" s="12"/>
      <c r="F15" s="1"/>
    </row>
    <row r="16" spans="1:8" ht="20.100000000000001" customHeight="1">
      <c r="A16" s="12"/>
      <c r="B16" s="30"/>
      <c r="C16" s="12"/>
      <c r="D16" s="49"/>
      <c r="E16" s="12"/>
      <c r="F16" s="1"/>
    </row>
    <row r="17" spans="1:6" ht="20.100000000000001" customHeight="1">
      <c r="A17" s="12"/>
      <c r="B17" s="30"/>
      <c r="C17" s="12"/>
      <c r="D17" s="49"/>
      <c r="E17" s="12"/>
      <c r="F17" s="1"/>
    </row>
    <row r="18" spans="1:6" ht="20.100000000000001" customHeight="1">
      <c r="A18" s="12"/>
      <c r="B18" s="30"/>
      <c r="C18" s="12"/>
      <c r="D18" s="49"/>
      <c r="E18" s="12"/>
      <c r="F18" s="1"/>
    </row>
    <row r="19" spans="1:6" ht="20.100000000000001" customHeight="1">
      <c r="A19" s="12"/>
      <c r="B19" s="30"/>
      <c r="C19" s="12"/>
      <c r="D19" s="49"/>
      <c r="E19" s="12"/>
      <c r="F19" s="1"/>
    </row>
    <row r="20" spans="1:6" ht="20.100000000000001" customHeight="1">
      <c r="A20" s="12"/>
      <c r="B20" s="30"/>
      <c r="C20" s="12"/>
      <c r="D20" s="49"/>
      <c r="E20" s="12"/>
      <c r="F20" s="1"/>
    </row>
  </sheetData>
  <mergeCells count="5">
    <mergeCell ref="A1:F1"/>
    <mergeCell ref="A2:F2"/>
    <mergeCell ref="A3:B3"/>
    <mergeCell ref="A4:B4"/>
    <mergeCell ref="C4:E4"/>
  </mergeCells>
  <phoneticPr fontId="3" type="noConversion"/>
  <hyperlinks>
    <hyperlink ref="H3" location="總表!A1" display="總表!A1" xr:uid="{346D2013-B36B-4BE2-8570-67DF7F4A00F3}"/>
  </hyperlinks>
  <pageMargins left="7.874015748031496E-2" right="7.874015748031496E-2" top="0.39370078740157483" bottom="0.39370078740157483" header="0.31496062992125984" footer="0.31496062992125984"/>
  <pageSetup paperSize="9" scale="82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G13"/>
  <sheetViews>
    <sheetView showGridLines="0" workbookViewId="0">
      <pane ySplit="5" topLeftCell="A6" activePane="bottomLeft" state="frozen"/>
      <selection pane="bottomLeft" activeCell="G3" sqref="G3"/>
    </sheetView>
  </sheetViews>
  <sheetFormatPr defaultRowHeight="15.75"/>
  <cols>
    <col min="1" max="1" width="21.625" customWidth="1"/>
    <col min="2" max="2" width="11.625" customWidth="1"/>
    <col min="3" max="3" width="6.125" customWidth="1"/>
    <col min="4" max="4" width="17.375" customWidth="1"/>
    <col min="5" max="5" width="42.625" customWidth="1"/>
  </cols>
  <sheetData>
    <row r="1" spans="1:7" ht="21">
      <c r="A1" s="98" t="s">
        <v>4</v>
      </c>
      <c r="B1" s="98"/>
      <c r="C1" s="98"/>
      <c r="D1" s="98"/>
      <c r="E1" s="98"/>
    </row>
    <row r="2" spans="1:7" ht="37.5" customHeight="1">
      <c r="A2" s="99" t="s">
        <v>177</v>
      </c>
      <c r="B2" s="100"/>
      <c r="C2" s="100"/>
      <c r="D2" s="100"/>
      <c r="E2" s="100"/>
    </row>
    <row r="3" spans="1:7" s="3" customFormat="1" ht="37.5" customHeight="1">
      <c r="A3" s="25" t="s">
        <v>138</v>
      </c>
      <c r="B3" s="36"/>
      <c r="C3" s="36"/>
      <c r="D3" s="36"/>
      <c r="E3" s="25" t="s">
        <v>137</v>
      </c>
      <c r="G3" s="52" t="s">
        <v>162</v>
      </c>
    </row>
    <row r="4" spans="1:7" s="3" customFormat="1" ht="37.5" customHeight="1">
      <c r="A4" s="25" t="s">
        <v>136</v>
      </c>
      <c r="B4" s="97" t="s">
        <v>135</v>
      </c>
      <c r="C4" s="131"/>
      <c r="D4" s="131"/>
      <c r="E4" s="25" t="s">
        <v>134</v>
      </c>
    </row>
    <row r="5" spans="1:7" s="3" customFormat="1" ht="54.75" customHeight="1">
      <c r="A5" s="34" t="s">
        <v>8</v>
      </c>
      <c r="B5" s="15" t="s">
        <v>28</v>
      </c>
      <c r="C5" s="15" t="s">
        <v>17</v>
      </c>
      <c r="D5" s="15" t="s">
        <v>133</v>
      </c>
      <c r="E5" s="34" t="s">
        <v>85</v>
      </c>
    </row>
    <row r="6" spans="1:7" s="3" customFormat="1" ht="20.100000000000001" customHeight="1">
      <c r="A6" s="28" t="s">
        <v>132</v>
      </c>
      <c r="B6" s="6">
        <v>10000</v>
      </c>
      <c r="C6" s="28" t="s">
        <v>25</v>
      </c>
      <c r="D6" s="28" t="s">
        <v>131</v>
      </c>
      <c r="E6" s="28"/>
    </row>
    <row r="7" spans="1:7" s="3" customFormat="1" ht="20.100000000000001" customHeight="1">
      <c r="A7" s="8"/>
      <c r="B7" s="8"/>
      <c r="C7" s="8"/>
      <c r="D7" s="8"/>
      <c r="E7" s="8"/>
    </row>
    <row r="8" spans="1:7" ht="20.100000000000001" customHeight="1">
      <c r="A8" s="1"/>
      <c r="B8" s="1"/>
      <c r="C8" s="1"/>
      <c r="D8" s="1"/>
      <c r="E8" s="1"/>
    </row>
    <row r="9" spans="1:7" ht="20.100000000000001" customHeight="1">
      <c r="A9" s="1"/>
      <c r="B9" s="1"/>
      <c r="C9" s="1"/>
      <c r="D9" s="1"/>
      <c r="E9" s="1"/>
    </row>
    <row r="10" spans="1:7" ht="20.100000000000001" customHeight="1">
      <c r="A10" s="1"/>
      <c r="B10" s="1"/>
      <c r="C10" s="1"/>
      <c r="D10" s="1"/>
      <c r="E10" s="1"/>
    </row>
    <row r="11" spans="1:7" ht="20.100000000000001" customHeight="1">
      <c r="A11" s="1"/>
      <c r="B11" s="1"/>
      <c r="C11" s="1"/>
      <c r="D11" s="1"/>
      <c r="E11" s="1"/>
    </row>
    <row r="12" spans="1:7" ht="20.100000000000001" customHeight="1">
      <c r="A12" s="1"/>
      <c r="B12" s="1"/>
      <c r="C12" s="1"/>
      <c r="D12" s="1"/>
      <c r="E12" s="1"/>
    </row>
    <row r="13" spans="1:7" ht="20.100000000000001" customHeight="1">
      <c r="A13" s="1"/>
      <c r="B13" s="1"/>
      <c r="C13" s="1"/>
      <c r="D13" s="1"/>
      <c r="E13" s="1"/>
    </row>
  </sheetData>
  <mergeCells count="3">
    <mergeCell ref="A1:E1"/>
    <mergeCell ref="A2:E2"/>
    <mergeCell ref="B4:D4"/>
  </mergeCells>
  <phoneticPr fontId="3" type="noConversion"/>
  <hyperlinks>
    <hyperlink ref="G3" location="總表!A1" display="總表!A1" xr:uid="{6E08EBE8-F3E6-4E86-B2CD-A8E0B5960A25}"/>
  </hyperlinks>
  <pageMargins left="0.7" right="0.7" top="0.75" bottom="0.75" header="0.3" footer="0.3"/>
  <pageSetup paperSize="9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H14"/>
  <sheetViews>
    <sheetView showGridLines="0" workbookViewId="0">
      <pane ySplit="5" topLeftCell="A6" activePane="bottomLeft" state="frozen"/>
      <selection pane="bottomLeft" activeCell="A2" sqref="A2:E2"/>
    </sheetView>
  </sheetViews>
  <sheetFormatPr defaultRowHeight="15.75"/>
  <cols>
    <col min="1" max="1" width="21.625" customWidth="1"/>
    <col min="2" max="2" width="19.75" customWidth="1"/>
    <col min="3" max="3" width="5.625" customWidth="1"/>
    <col min="4" max="4" width="16.5" customWidth="1"/>
    <col min="5" max="5" width="28.125" customWidth="1"/>
  </cols>
  <sheetData>
    <row r="1" spans="1:8" ht="21">
      <c r="A1" s="98" t="s">
        <v>4</v>
      </c>
      <c r="B1" s="98"/>
      <c r="C1" s="98"/>
      <c r="D1" s="98"/>
      <c r="E1" s="98"/>
    </row>
    <row r="2" spans="1:8" ht="45.75" customHeight="1">
      <c r="A2" s="99" t="s">
        <v>179</v>
      </c>
      <c r="B2" s="100"/>
      <c r="C2" s="100"/>
      <c r="D2" s="100"/>
      <c r="E2" s="100"/>
    </row>
    <row r="3" spans="1:8" s="3" customFormat="1" ht="45.75" customHeight="1">
      <c r="A3" s="101" t="s">
        <v>143</v>
      </c>
      <c r="B3" s="101"/>
      <c r="C3" s="43"/>
      <c r="D3" s="43"/>
      <c r="E3" s="42" t="s">
        <v>142</v>
      </c>
      <c r="H3" s="52" t="s">
        <v>162</v>
      </c>
    </row>
    <row r="4" spans="1:8" s="3" customFormat="1" ht="45.75" customHeight="1">
      <c r="A4" s="42" t="s">
        <v>136</v>
      </c>
      <c r="B4" s="101" t="s">
        <v>135</v>
      </c>
      <c r="C4" s="101"/>
      <c r="D4" s="101"/>
      <c r="E4" s="42" t="s">
        <v>134</v>
      </c>
    </row>
    <row r="5" spans="1:8" s="3" customFormat="1" ht="53.25" customHeight="1">
      <c r="A5" s="34" t="s">
        <v>8</v>
      </c>
      <c r="B5" s="15" t="s">
        <v>88</v>
      </c>
      <c r="C5" s="34" t="s">
        <v>17</v>
      </c>
      <c r="D5" s="15" t="s">
        <v>133</v>
      </c>
      <c r="E5" s="34" t="s">
        <v>85</v>
      </c>
    </row>
    <row r="6" spans="1:8" s="3" customFormat="1" ht="20.100000000000001" customHeight="1">
      <c r="A6" s="28" t="s">
        <v>141</v>
      </c>
      <c r="B6" s="6">
        <v>1</v>
      </c>
      <c r="C6" s="28" t="s">
        <v>25</v>
      </c>
      <c r="D6" s="8"/>
      <c r="E6" s="8"/>
    </row>
    <row r="7" spans="1:8" s="3" customFormat="1" ht="20.100000000000001" customHeight="1">
      <c r="A7" s="8"/>
      <c r="B7" s="8"/>
      <c r="C7" s="8"/>
      <c r="D7" s="8"/>
      <c r="E7" s="8"/>
    </row>
    <row r="8" spans="1:8" s="3" customFormat="1" ht="20.100000000000001" customHeight="1">
      <c r="A8" s="8"/>
      <c r="B8" s="8"/>
      <c r="C8" s="8"/>
      <c r="D8" s="8"/>
      <c r="E8" s="8"/>
    </row>
    <row r="9" spans="1:8" s="3" customFormat="1" ht="20.100000000000001" customHeight="1">
      <c r="A9" s="8"/>
      <c r="B9" s="8"/>
      <c r="C9" s="8"/>
      <c r="D9" s="8"/>
      <c r="E9" s="8"/>
    </row>
    <row r="10" spans="1:8" s="3" customFormat="1" ht="20.100000000000001" customHeight="1">
      <c r="A10" s="8"/>
      <c r="B10" s="8"/>
      <c r="C10" s="8"/>
      <c r="D10" s="8"/>
      <c r="E10" s="8"/>
    </row>
    <row r="11" spans="1:8" s="3" customFormat="1" ht="20.100000000000001" customHeight="1">
      <c r="A11" s="8"/>
      <c r="B11" s="8"/>
      <c r="C11" s="8"/>
      <c r="D11" s="8"/>
      <c r="E11" s="8"/>
    </row>
    <row r="12" spans="1:8" s="3" customFormat="1" ht="20.100000000000001" customHeight="1">
      <c r="A12" s="8"/>
      <c r="B12" s="8"/>
      <c r="C12" s="8"/>
      <c r="D12" s="8"/>
      <c r="E12" s="8"/>
    </row>
    <row r="13" spans="1:8" s="3" customFormat="1" ht="20.100000000000001" customHeight="1">
      <c r="A13" s="8"/>
      <c r="B13" s="8"/>
      <c r="C13" s="8"/>
      <c r="D13" s="8"/>
      <c r="E13" s="8"/>
    </row>
    <row r="14" spans="1:8">
      <c r="A14" s="1"/>
      <c r="B14" s="1"/>
      <c r="C14" s="1"/>
      <c r="D14" s="1"/>
      <c r="E14" s="1"/>
    </row>
  </sheetData>
  <mergeCells count="4">
    <mergeCell ref="A1:E1"/>
    <mergeCell ref="A2:E2"/>
    <mergeCell ref="A3:B3"/>
    <mergeCell ref="B4:D4"/>
  </mergeCells>
  <phoneticPr fontId="3" type="noConversion"/>
  <hyperlinks>
    <hyperlink ref="H3" location="總表!A1" display="總表!A1" xr:uid="{C7F65B17-4B7C-432D-86AB-5265242934AB}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I23"/>
  <sheetViews>
    <sheetView showGridLines="0" workbookViewId="0">
      <pane ySplit="4" topLeftCell="A5" activePane="bottomLeft" state="frozen"/>
      <selection pane="bottomLeft" activeCell="I3" sqref="I3"/>
    </sheetView>
  </sheetViews>
  <sheetFormatPr defaultRowHeight="15.75"/>
  <cols>
    <col min="1" max="1" width="11.625" customWidth="1"/>
    <col min="2" max="2" width="22.625" customWidth="1"/>
    <col min="3" max="3" width="6" customWidth="1"/>
    <col min="4" max="4" width="15.625" customWidth="1"/>
    <col min="5" max="5" width="9.875" customWidth="1"/>
    <col min="6" max="6" width="19.875" customWidth="1"/>
  </cols>
  <sheetData>
    <row r="1" spans="1:9" ht="21">
      <c r="A1" s="98" t="s">
        <v>159</v>
      </c>
      <c r="B1" s="98"/>
      <c r="C1" s="98"/>
      <c r="D1" s="98"/>
      <c r="E1" s="98"/>
      <c r="F1" s="98"/>
    </row>
    <row r="2" spans="1:9" ht="38.25" customHeight="1">
      <c r="A2" s="99" t="s">
        <v>181</v>
      </c>
      <c r="B2" s="100"/>
      <c r="C2" s="100"/>
      <c r="D2" s="100"/>
      <c r="E2" s="100"/>
      <c r="F2" s="100"/>
    </row>
    <row r="3" spans="1:9" ht="46.5" customHeight="1">
      <c r="A3" s="97" t="s">
        <v>158</v>
      </c>
      <c r="B3" s="97"/>
      <c r="C3" s="41"/>
      <c r="D3" s="42" t="s">
        <v>157</v>
      </c>
      <c r="E3" s="41"/>
      <c r="F3" s="42" t="s">
        <v>156</v>
      </c>
      <c r="I3" s="52" t="s">
        <v>162</v>
      </c>
    </row>
    <row r="4" spans="1:9" s="3" customFormat="1" ht="36" customHeight="1">
      <c r="A4" s="15" t="s">
        <v>155</v>
      </c>
      <c r="B4" s="34" t="s">
        <v>154</v>
      </c>
      <c r="C4" s="15" t="s">
        <v>153</v>
      </c>
      <c r="D4" s="15" t="s">
        <v>152</v>
      </c>
      <c r="E4" s="15" t="s">
        <v>151</v>
      </c>
      <c r="F4" s="34" t="s">
        <v>150</v>
      </c>
    </row>
    <row r="5" spans="1:9" s="3" customFormat="1" ht="20.100000000000001" customHeight="1">
      <c r="A5" s="51">
        <v>46111</v>
      </c>
      <c r="B5" s="8" t="s">
        <v>149</v>
      </c>
      <c r="C5" s="11" t="s">
        <v>148</v>
      </c>
      <c r="D5" s="6">
        <v>5000</v>
      </c>
      <c r="E5" s="11" t="s">
        <v>147</v>
      </c>
      <c r="F5" s="28" t="s">
        <v>146</v>
      </c>
    </row>
    <row r="6" spans="1:9" ht="20.100000000000001" customHeight="1">
      <c r="A6" s="1"/>
      <c r="B6" s="1"/>
      <c r="C6" s="12"/>
      <c r="D6" s="1"/>
      <c r="E6" s="12"/>
      <c r="F6" s="1"/>
    </row>
    <row r="7" spans="1:9" ht="20.100000000000001" customHeight="1">
      <c r="A7" s="1"/>
      <c r="B7" s="1"/>
      <c r="C7" s="12"/>
      <c r="D7" s="1"/>
      <c r="E7" s="12"/>
      <c r="F7" s="1"/>
    </row>
    <row r="8" spans="1:9" ht="20.100000000000001" customHeight="1">
      <c r="A8" s="1"/>
      <c r="B8" s="1"/>
      <c r="C8" s="12"/>
      <c r="D8" s="1"/>
      <c r="E8" s="12"/>
      <c r="F8" s="1"/>
    </row>
    <row r="9" spans="1:9" ht="20.100000000000001" customHeight="1">
      <c r="A9" s="1"/>
      <c r="B9" s="1"/>
      <c r="C9" s="12"/>
      <c r="D9" s="1"/>
      <c r="E9" s="12"/>
      <c r="F9" s="1"/>
    </row>
    <row r="10" spans="1:9" ht="20.100000000000001" customHeight="1">
      <c r="A10" s="1"/>
      <c r="B10" s="1"/>
      <c r="C10" s="12"/>
      <c r="D10" s="1"/>
      <c r="E10" s="12"/>
      <c r="F10" s="1"/>
    </row>
    <row r="11" spans="1:9" ht="20.100000000000001" customHeight="1">
      <c r="A11" s="1"/>
      <c r="B11" s="1"/>
      <c r="C11" s="12"/>
      <c r="D11" s="1"/>
      <c r="E11" s="12"/>
      <c r="F11" s="1"/>
    </row>
    <row r="12" spans="1:9" ht="20.100000000000001" customHeight="1">
      <c r="A12" s="1"/>
      <c r="B12" s="1"/>
      <c r="C12" s="12"/>
      <c r="D12" s="1"/>
      <c r="E12" s="12"/>
      <c r="F12" s="1"/>
    </row>
    <row r="13" spans="1:9" ht="20.100000000000001" customHeight="1">
      <c r="A13" s="1"/>
      <c r="B13" s="1"/>
      <c r="C13" s="12"/>
      <c r="D13" s="1"/>
      <c r="E13" s="12"/>
      <c r="F13" s="1"/>
    </row>
    <row r="14" spans="1:9" ht="20.100000000000001" customHeight="1">
      <c r="A14" s="1"/>
      <c r="B14" s="1"/>
      <c r="C14" s="12"/>
      <c r="D14" s="1"/>
      <c r="E14" s="12"/>
      <c r="F14" s="1"/>
    </row>
    <row r="15" spans="1:9" ht="20.100000000000001" customHeight="1">
      <c r="A15" s="1"/>
      <c r="B15" s="1"/>
      <c r="C15" s="12"/>
      <c r="D15" s="1"/>
      <c r="E15" s="12"/>
      <c r="F15" s="1"/>
    </row>
    <row r="16" spans="1:9" ht="20.100000000000001" customHeight="1">
      <c r="A16" s="1"/>
      <c r="B16" s="1"/>
      <c r="C16" s="12"/>
      <c r="D16" s="1"/>
      <c r="E16" s="12"/>
      <c r="F16" s="1"/>
    </row>
    <row r="17" spans="1:6" ht="20.100000000000001" customHeight="1">
      <c r="A17" s="1"/>
      <c r="B17" s="1"/>
      <c r="C17" s="12"/>
      <c r="D17" s="1"/>
      <c r="E17" s="12"/>
      <c r="F17" s="1"/>
    </row>
    <row r="18" spans="1:6" ht="20.100000000000001" customHeight="1">
      <c r="A18" s="1"/>
      <c r="B18" s="1"/>
      <c r="C18" s="12"/>
      <c r="D18" s="1"/>
      <c r="E18" s="12"/>
      <c r="F18" s="1"/>
    </row>
    <row r="19" spans="1:6" ht="20.100000000000001" customHeight="1">
      <c r="A19" s="1"/>
      <c r="B19" s="1"/>
      <c r="C19" s="12"/>
      <c r="D19" s="1"/>
      <c r="E19" s="12"/>
      <c r="F19" s="1"/>
    </row>
    <row r="20" spans="1:6" ht="20.100000000000001" customHeight="1">
      <c r="A20" s="1"/>
      <c r="B20" s="1"/>
      <c r="C20" s="1"/>
      <c r="D20" s="1"/>
      <c r="E20" s="12"/>
      <c r="F20" s="1"/>
    </row>
    <row r="21" spans="1:6" ht="20.100000000000001" customHeight="1">
      <c r="A21" s="1"/>
      <c r="B21" s="1"/>
      <c r="C21" s="1"/>
      <c r="D21" s="1"/>
      <c r="E21" s="12"/>
      <c r="F21" s="1"/>
    </row>
    <row r="22" spans="1:6" ht="20.100000000000001" customHeight="1">
      <c r="A22" s="1"/>
      <c r="B22" s="1"/>
      <c r="C22" s="1"/>
      <c r="D22" s="1"/>
      <c r="E22" s="1"/>
      <c r="F22" s="1"/>
    </row>
    <row r="23" spans="1:6" ht="20.100000000000001" customHeight="1"/>
  </sheetData>
  <mergeCells count="3">
    <mergeCell ref="A1:F1"/>
    <mergeCell ref="A2:F2"/>
    <mergeCell ref="A3:B3"/>
  </mergeCells>
  <phoneticPr fontId="3" type="noConversion"/>
  <hyperlinks>
    <hyperlink ref="I3" location="總表!A1" display="總表!A1" xr:uid="{FD9D53EF-57A1-4951-88D4-8B955CF7C1A0}"/>
  </hyperlink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總表</vt:lpstr>
      <vt:lpstr>請購單-PR</vt:lpstr>
      <vt:lpstr>採購單-PO</vt:lpstr>
      <vt:lpstr>(採購)收料單</vt:lpstr>
      <vt:lpstr>付款單</vt:lpstr>
      <vt:lpstr>廠內製令單&amp;領料單</vt:lpstr>
      <vt:lpstr>領料退回單</vt:lpstr>
      <vt:lpstr>調 撥 單</vt:lpstr>
      <vt:lpstr>(託外)收料單</vt:lpstr>
      <vt:lpstr>繳 庫 單</vt:lpstr>
      <vt:lpstr>繳 庫 退 回 </vt:lpstr>
      <vt:lpstr>雜入出庫單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kst331</dc:creator>
  <cp:lastModifiedBy>admin</cp:lastModifiedBy>
  <cp:lastPrinted>2026-03-30T01:15:12Z</cp:lastPrinted>
  <dcterms:created xsi:type="dcterms:W3CDTF">2026-03-27T06:36:38Z</dcterms:created>
  <dcterms:modified xsi:type="dcterms:W3CDTF">2026-04-28T03:51:55Z</dcterms:modified>
</cp:coreProperties>
</file>